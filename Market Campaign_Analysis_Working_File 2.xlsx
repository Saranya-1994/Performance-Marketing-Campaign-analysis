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ranya cj\Downloads\"/>
    </mc:Choice>
  </mc:AlternateContent>
  <xr:revisionPtr revIDLastSave="0" documentId="13_ncr:1_{11514E72-6B2B-4590-A8C3-FF9AFA32F732}" xr6:coauthVersionLast="47" xr6:coauthVersionMax="47" xr10:uidLastSave="{00000000-0000-0000-0000-000000000000}"/>
  <bookViews>
    <workbookView xWindow="60" yWindow="20" windowWidth="19140" windowHeight="11260" tabRatio="500" firstSheet="16" activeTab="16" xr2:uid="{00000000-000D-0000-FFFF-FFFF00000000}"/>
  </bookViews>
  <sheets>
    <sheet name="DATA" sheetId="18" r:id="rId1"/>
    <sheet name="Cleaned Data" sheetId="19" r:id="rId2"/>
    <sheet name="Monthly Summary" sheetId="3" r:id="rId3"/>
    <sheet name="Channel Analysis" sheetId="4" r:id="rId4"/>
    <sheet name="Pillar Analysis" sheetId="5" r:id="rId5"/>
    <sheet name="outlier campaign pillar" sheetId="16" r:id="rId6"/>
    <sheet name="pillar outlier" sheetId="11" r:id="rId7"/>
    <sheet name="Format Analysis" sheetId="6" r:id="rId8"/>
    <sheet name="Market Analysis" sheetId="7" r:id="rId9"/>
    <sheet name="Statistical Summary" sheetId="8" r:id="rId10"/>
    <sheet name="Anomaly Detection" sheetId="9" r:id="rId11"/>
    <sheet name="October anomaly" sheetId="14" r:id="rId12"/>
    <sheet name="Insights" sheetId="12" r:id="rId13"/>
    <sheet name="Sheet1__4" sheetId="17" r:id="rId14"/>
    <sheet name="1. Overall Performance" sheetId="20" r:id="rId15"/>
    <sheet name="2. Content &amp; Engagement Analysi" sheetId="21" r:id="rId16"/>
    <sheet name="3. Performance Metrics Review" sheetId="22" r:id="rId17"/>
  </sheets>
  <externalReferences>
    <externalReference r:id="rId18"/>
    <externalReference r:id="rId19"/>
  </externalReferences>
  <definedNames>
    <definedName name="ExternalData_5" localSheetId="0" hidden="1">DATA!$A$1:$M$650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6" l="1"/>
  <c r="F19" i="6"/>
  <c r="F18" i="6"/>
  <c r="E20" i="6"/>
  <c r="E19" i="6"/>
  <c r="E18" i="6"/>
  <c r="D20" i="6"/>
  <c r="D19" i="6"/>
  <c r="D18" i="6"/>
  <c r="C20" i="6"/>
  <c r="C19" i="6"/>
  <c r="C18" i="6"/>
  <c r="B20" i="6"/>
  <c r="B19" i="6"/>
  <c r="B18" i="6"/>
  <c r="D13" i="6"/>
  <c r="D12" i="6"/>
  <c r="D11" i="6"/>
  <c r="C13" i="6"/>
  <c r="C12" i="6"/>
  <c r="C11" i="6"/>
  <c r="B13" i="6"/>
  <c r="B12" i="6"/>
  <c r="B11" i="6"/>
  <c r="J6" i="6"/>
  <c r="J5" i="6"/>
  <c r="J4" i="6"/>
  <c r="I6" i="6"/>
  <c r="I5" i="6"/>
  <c r="I4" i="6"/>
  <c r="H6" i="6"/>
  <c r="H5" i="6"/>
  <c r="H4" i="6"/>
  <c r="G6" i="6"/>
  <c r="G5" i="6"/>
  <c r="G4" i="6"/>
  <c r="F6" i="6"/>
  <c r="F5" i="6"/>
  <c r="F4" i="6"/>
  <c r="E6" i="6"/>
  <c r="E5" i="6"/>
  <c r="E4" i="6"/>
  <c r="D6" i="6"/>
  <c r="D5" i="6"/>
  <c r="D4" i="6"/>
  <c r="C6" i="6"/>
  <c r="C5" i="6"/>
  <c r="C4" i="6"/>
  <c r="B6" i="6"/>
  <c r="B5" i="6"/>
  <c r="B4" i="6"/>
  <c r="F4" i="14"/>
  <c r="F3" i="14"/>
  <c r="E4" i="14"/>
  <c r="E3" i="14"/>
  <c r="C4" i="14"/>
  <c r="C3" i="14"/>
  <c r="B4" i="14"/>
  <c r="B3" i="14"/>
  <c r="E14" i="16"/>
  <c r="E13" i="16"/>
  <c r="E12" i="16"/>
  <c r="E11" i="16"/>
  <c r="E10" i="16"/>
  <c r="E9" i="16"/>
  <c r="E8" i="16"/>
  <c r="E7" i="16"/>
  <c r="E6" i="16"/>
  <c r="E5" i="16"/>
  <c r="E4" i="16"/>
  <c r="C14" i="16"/>
  <c r="C13" i="16"/>
  <c r="C12" i="16"/>
  <c r="C11" i="16"/>
  <c r="C10" i="16"/>
  <c r="C9" i="16"/>
  <c r="C8" i="16"/>
  <c r="C7" i="16"/>
  <c r="C6" i="16"/>
  <c r="C5" i="16"/>
  <c r="C4" i="16"/>
  <c r="B14" i="16" a="1"/>
  <c r="B14" i="16" s="1"/>
  <c r="B13" i="16"/>
  <c r="B12" i="16"/>
  <c r="B11" i="16"/>
  <c r="B10" i="16"/>
  <c r="B9" i="16"/>
  <c r="B8" i="16"/>
  <c r="B7" i="16"/>
  <c r="B6" i="16"/>
  <c r="B5" i="16"/>
  <c r="B4" i="16"/>
  <c r="I12" i="5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9" i="4"/>
  <c r="B18" i="4"/>
  <c r="C14" i="4"/>
  <c r="B14" i="4"/>
  <c r="C13" i="4"/>
  <c r="B13" i="4"/>
  <c r="C12" i="4"/>
  <c r="B12" i="4"/>
  <c r="C11" i="4"/>
  <c r="B11" i="4"/>
  <c r="C10" i="4"/>
  <c r="B10" i="4"/>
  <c r="G5" i="4"/>
  <c r="F5" i="4"/>
  <c r="E5" i="4"/>
  <c r="D5" i="4"/>
  <c r="C5" i="4"/>
  <c r="B5" i="4"/>
  <c r="G4" i="4"/>
  <c r="F4" i="4"/>
  <c r="E4" i="4"/>
  <c r="D4" i="4"/>
  <c r="C4" i="4"/>
  <c r="B4" i="4"/>
  <c r="K8" i="3"/>
  <c r="G8" i="3"/>
  <c r="F8" i="3"/>
  <c r="E8" i="3"/>
  <c r="D8" i="3"/>
  <c r="C8" i="3"/>
  <c r="B8" i="3"/>
  <c r="K7" i="3"/>
  <c r="G7" i="3"/>
  <c r="F7" i="3"/>
  <c r="E7" i="3"/>
  <c r="D7" i="3"/>
  <c r="C7" i="3"/>
  <c r="B7" i="3"/>
  <c r="K6" i="3"/>
  <c r="G6" i="3"/>
  <c r="F6" i="3"/>
  <c r="E6" i="3"/>
  <c r="D6" i="3"/>
  <c r="C6" i="3"/>
  <c r="B6" i="3"/>
  <c r="K5" i="3"/>
  <c r="G5" i="3"/>
  <c r="F5" i="3"/>
  <c r="E5" i="3"/>
  <c r="D5" i="3"/>
  <c r="C5" i="3"/>
  <c r="B5" i="3"/>
  <c r="K4" i="3"/>
  <c r="G4" i="3"/>
  <c r="F4" i="3"/>
  <c r="E4" i="3"/>
  <c r="D4" i="3"/>
  <c r="C4" i="3"/>
  <c r="B4" i="3"/>
  <c r="F16" i="7"/>
  <c r="F15" i="7"/>
  <c r="F14" i="7"/>
  <c r="F13" i="7"/>
  <c r="F12" i="7"/>
  <c r="F11" i="7"/>
  <c r="F10" i="7"/>
  <c r="F9" i="7"/>
  <c r="F8" i="7"/>
  <c r="F7" i="7"/>
  <c r="F6" i="7"/>
  <c r="F5" i="7"/>
  <c r="F4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H667" i="18"/>
  <c r="G667" i="18"/>
  <c r="F667" i="18"/>
  <c r="E667" i="18"/>
  <c r="D667" i="18"/>
  <c r="C667" i="18"/>
  <c r="B667" i="18"/>
  <c r="H666" i="18"/>
  <c r="G666" i="18"/>
  <c r="F666" i="18"/>
  <c r="E666" i="18"/>
  <c r="D666" i="18"/>
  <c r="C666" i="18"/>
  <c r="B666" i="18"/>
  <c r="H665" i="18"/>
  <c r="G665" i="18"/>
  <c r="F665" i="18"/>
  <c r="E665" i="18"/>
  <c r="D665" i="18"/>
  <c r="C665" i="18"/>
  <c r="B665" i="18"/>
  <c r="H664" i="18"/>
  <c r="G664" i="18"/>
  <c r="F664" i="18"/>
  <c r="E664" i="18"/>
  <c r="D664" i="18"/>
  <c r="C664" i="18"/>
  <c r="B664" i="18"/>
  <c r="H663" i="18"/>
  <c r="G663" i="18"/>
  <c r="F663" i="18"/>
  <c r="E663" i="18"/>
  <c r="D663" i="18"/>
  <c r="C663" i="18"/>
  <c r="B663" i="18"/>
  <c r="H662" i="18"/>
  <c r="G662" i="18"/>
  <c r="F662" i="18"/>
  <c r="E662" i="18"/>
  <c r="D662" i="18"/>
  <c r="C662" i="18"/>
  <c r="B662" i="18"/>
  <c r="H661" i="18"/>
  <c r="G661" i="18"/>
  <c r="F661" i="18"/>
  <c r="E661" i="18"/>
  <c r="D661" i="18"/>
  <c r="C661" i="18"/>
  <c r="B661" i="18"/>
  <c r="H660" i="18"/>
  <c r="G660" i="18"/>
  <c r="F660" i="18"/>
  <c r="E660" i="18"/>
  <c r="D660" i="18"/>
  <c r="C660" i="18"/>
  <c r="B660" i="18"/>
  <c r="H659" i="18"/>
  <c r="G659" i="18"/>
  <c r="F659" i="18"/>
  <c r="E659" i="18"/>
  <c r="D659" i="18"/>
  <c r="C659" i="18"/>
  <c r="B659" i="18"/>
  <c r="H658" i="18"/>
  <c r="G658" i="18"/>
  <c r="F658" i="18"/>
  <c r="E658" i="18"/>
  <c r="D658" i="18"/>
  <c r="C658" i="18"/>
  <c r="B658" i="18"/>
  <c r="H657" i="18"/>
  <c r="G657" i="18"/>
  <c r="F657" i="18"/>
  <c r="E657" i="18"/>
  <c r="D657" i="18"/>
  <c r="C657" i="18"/>
  <c r="B657" i="18"/>
  <c r="H656" i="18"/>
  <c r="G656" i="18"/>
  <c r="F656" i="18"/>
  <c r="E656" i="18"/>
  <c r="D656" i="18"/>
  <c r="C656" i="18"/>
  <c r="B656" i="18"/>
  <c r="H655" i="18"/>
  <c r="G655" i="18"/>
  <c r="F655" i="18"/>
  <c r="E655" i="18"/>
  <c r="D655" i="18"/>
  <c r="C655" i="18"/>
  <c r="B655" i="18"/>
  <c r="H654" i="18"/>
  <c r="G654" i="18"/>
  <c r="F654" i="18"/>
  <c r="E654" i="18"/>
  <c r="D654" i="18"/>
  <c r="C654" i="18"/>
  <c r="B654" i="18"/>
  <c r="F10" i="14"/>
  <c r="D10" i="14"/>
  <c r="F9" i="14"/>
  <c r="D9" i="14"/>
  <c r="C13" i="11"/>
  <c r="B13" i="11"/>
  <c r="D13" i="11" s="1"/>
  <c r="E12" i="11"/>
  <c r="C12" i="11"/>
  <c r="B12" i="11"/>
  <c r="F12" i="11" s="1"/>
  <c r="E11" i="11"/>
  <c r="C11" i="11"/>
  <c r="B11" i="11"/>
  <c r="F11" i="11" s="1"/>
  <c r="C10" i="11"/>
  <c r="B10" i="11"/>
  <c r="C9" i="11"/>
  <c r="B9" i="11"/>
  <c r="E8" i="11"/>
  <c r="C8" i="11"/>
  <c r="B8" i="11"/>
  <c r="D8" i="11" s="1"/>
  <c r="C7" i="11"/>
  <c r="B7" i="11"/>
  <c r="E6" i="11"/>
  <c r="C6" i="11"/>
  <c r="B6" i="11"/>
  <c r="E5" i="11"/>
  <c r="C5" i="11"/>
  <c r="B5" i="11"/>
  <c r="C4" i="11"/>
  <c r="B4" i="11"/>
  <c r="B14" i="11" s="1"/>
  <c r="C3" i="11"/>
  <c r="B3" i="11"/>
  <c r="C8" i="12"/>
  <c r="C7" i="12"/>
  <c r="C6" i="12"/>
  <c r="C5" i="12"/>
  <c r="C4" i="12"/>
  <c r="I3" i="5"/>
  <c r="I4" i="5"/>
  <c r="I5" i="5"/>
  <c r="I6" i="5"/>
  <c r="I7" i="5"/>
  <c r="I8" i="5"/>
  <c r="I9" i="5"/>
  <c r="I10" i="5"/>
  <c r="I11" i="5"/>
  <c r="G12" i="5"/>
  <c r="E7" i="11" s="1"/>
  <c r="F12" i="5"/>
  <c r="E12" i="5"/>
  <c r="G11" i="5"/>
  <c r="E13" i="11" s="1"/>
  <c r="F11" i="5"/>
  <c r="E11" i="5"/>
  <c r="G10" i="5"/>
  <c r="F10" i="5"/>
  <c r="E10" i="5"/>
  <c r="G9" i="5"/>
  <c r="E10" i="11" s="1"/>
  <c r="F9" i="5"/>
  <c r="E9" i="5"/>
  <c r="G8" i="5"/>
  <c r="F8" i="5"/>
  <c r="E8" i="5"/>
  <c r="G7" i="5"/>
  <c r="E9" i="11" s="1"/>
  <c r="F7" i="5"/>
  <c r="E7" i="5"/>
  <c r="G6" i="5"/>
  <c r="F6" i="5"/>
  <c r="E6" i="5"/>
  <c r="G5" i="5"/>
  <c r="F5" i="5"/>
  <c r="E5" i="5"/>
  <c r="G4" i="5"/>
  <c r="E3" i="11" s="1"/>
  <c r="F4" i="5"/>
  <c r="E4" i="5"/>
  <c r="G3" i="5"/>
  <c r="E4" i="11" s="1"/>
  <c r="F3" i="5"/>
  <c r="E3" i="5"/>
  <c r="D14" i="5"/>
  <c r="C14" i="5"/>
  <c r="H12" i="5" s="1"/>
  <c r="B14" i="5"/>
  <c r="D3" i="14" l="1"/>
  <c r="D4" i="14"/>
  <c r="D14" i="16"/>
  <c r="D12" i="16"/>
  <c r="D10" i="16"/>
  <c r="D8" i="16"/>
  <c r="F9" i="11"/>
  <c r="D12" i="11"/>
  <c r="F5" i="11"/>
  <c r="D9" i="11"/>
  <c r="F10" i="11"/>
  <c r="D6" i="11"/>
  <c r="F8" i="11"/>
  <c r="F6" i="11"/>
  <c r="F3" i="11"/>
  <c r="F7" i="11"/>
  <c r="D3" i="11"/>
  <c r="D10" i="11"/>
  <c r="C14" i="11"/>
  <c r="E14" i="11" s="1"/>
  <c r="D5" i="11"/>
  <c r="D11" i="11"/>
  <c r="F13" i="11"/>
  <c r="D7" i="11"/>
  <c r="F4" i="11"/>
  <c r="D4" i="11"/>
  <c r="D9" i="16"/>
  <c r="D13" i="16"/>
  <c r="D10" i="9"/>
  <c r="I5" i="4"/>
  <c r="I4" i="4"/>
  <c r="C16" i="3"/>
  <c r="I7" i="3"/>
  <c r="G16" i="7"/>
  <c r="G14" i="7"/>
  <c r="G13" i="7"/>
  <c r="G12" i="7"/>
  <c r="G11" i="7"/>
  <c r="G9" i="7"/>
  <c r="G6" i="7"/>
  <c r="D15" i="7"/>
  <c r="I15" i="7" s="1"/>
  <c r="D14" i="7"/>
  <c r="I14" i="7" s="1"/>
  <c r="D9" i="7"/>
  <c r="I9" i="7" s="1"/>
  <c r="D6" i="7"/>
  <c r="I6" i="7" s="1"/>
  <c r="D5" i="7"/>
  <c r="I5" i="7" s="1"/>
  <c r="H16" i="7"/>
  <c r="H13" i="7"/>
  <c r="H10" i="7"/>
  <c r="H8" i="7"/>
  <c r="D8" i="7"/>
  <c r="I8" i="7" s="1"/>
  <c r="H5" i="7"/>
  <c r="E9" i="9"/>
  <c r="F9" i="9" s="1"/>
  <c r="J4" i="3"/>
  <c r="B14" i="3"/>
  <c r="J7" i="3"/>
  <c r="G7" i="7"/>
  <c r="H15" i="7"/>
  <c r="H11" i="7"/>
  <c r="H14" i="7"/>
  <c r="H6" i="7"/>
  <c r="C14" i="3"/>
  <c r="J5" i="4"/>
  <c r="G10" i="7"/>
  <c r="D16" i="7"/>
  <c r="I16" i="7" s="1"/>
  <c r="J4" i="4"/>
  <c r="H7" i="3"/>
  <c r="D12" i="4"/>
  <c r="E12" i="4" s="1"/>
  <c r="H9" i="7"/>
  <c r="H12" i="7"/>
  <c r="G15" i="7"/>
  <c r="H4" i="7"/>
  <c r="H5" i="4"/>
  <c r="H7" i="7"/>
  <c r="G5" i="7"/>
  <c r="D5" i="9"/>
  <c r="E11" i="9"/>
  <c r="F11" i="9" s="1"/>
  <c r="G8" i="7"/>
  <c r="D7" i="9"/>
  <c r="D14" i="3"/>
  <c r="H8" i="3"/>
  <c r="H4" i="4"/>
  <c r="D11" i="7"/>
  <c r="I11" i="7" s="1"/>
  <c r="D4" i="7"/>
  <c r="I4" i="7" s="1"/>
  <c r="I4" i="3"/>
  <c r="D13" i="7"/>
  <c r="I13" i="7" s="1"/>
  <c r="C9" i="3"/>
  <c r="D12" i="7"/>
  <c r="I12" i="7" s="1"/>
  <c r="H6" i="3"/>
  <c r="E6" i="9"/>
  <c r="F6" i="9" s="1"/>
  <c r="E5" i="9"/>
  <c r="F5" i="9" s="1"/>
  <c r="E10" i="9"/>
  <c r="F10" i="9" s="1"/>
  <c r="D10" i="4"/>
  <c r="E10" i="4" s="1"/>
  <c r="E9" i="3"/>
  <c r="D16" i="3"/>
  <c r="I8" i="3"/>
  <c r="E8" i="9"/>
  <c r="F8" i="9" s="1"/>
  <c r="B9" i="3"/>
  <c r="F9" i="3"/>
  <c r="J8" i="3"/>
  <c r="C13" i="3"/>
  <c r="H4" i="3"/>
  <c r="G9" i="3"/>
  <c r="D13" i="3"/>
  <c r="D13" i="4"/>
  <c r="E13" i="4" s="1"/>
  <c r="D9" i="9"/>
  <c r="D11" i="16"/>
  <c r="D4" i="16"/>
  <c r="D5" i="16"/>
  <c r="D6" i="16"/>
  <c r="D7" i="16"/>
  <c r="G14" i="5"/>
  <c r="H7" i="5"/>
  <c r="H5" i="5"/>
  <c r="H8" i="5"/>
  <c r="H11" i="5"/>
  <c r="H4" i="5"/>
  <c r="H10" i="5"/>
  <c r="H3" i="5"/>
  <c r="H6" i="5"/>
  <c r="H9" i="5"/>
  <c r="E14" i="5"/>
  <c r="F14" i="5"/>
  <c r="E7" i="9"/>
  <c r="F7" i="9" s="1"/>
  <c r="D15" i="3"/>
  <c r="D9" i="3"/>
  <c r="B15" i="3"/>
  <c r="D7" i="7"/>
  <c r="I7" i="7" s="1"/>
  <c r="D10" i="7"/>
  <c r="I10" i="7" s="1"/>
  <c r="I6" i="3"/>
  <c r="C15" i="3"/>
  <c r="J6" i="3"/>
  <c r="D8" i="9"/>
  <c r="G4" i="7"/>
  <c r="H5" i="3"/>
  <c r="B16" i="3"/>
  <c r="I5" i="3"/>
  <c r="D11" i="4"/>
  <c r="E11" i="4" s="1"/>
  <c r="D14" i="4"/>
  <c r="E14" i="4" s="1"/>
  <c r="D6" i="9"/>
  <c r="J5" i="3"/>
  <c r="D11" i="9"/>
  <c r="B13" i="3"/>
  <c r="H14" i="5" l="1"/>
  <c r="D14" i="11"/>
  <c r="I9" i="3"/>
  <c r="J9" i="3"/>
  <c r="H9" i="3"/>
  <c r="K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9845BC-660D-44F2-AAA2-8356D7A4676C}" keepAlive="1" name="Query - Sheet1__4" description="Connection to the 'Sheet1__4' query in the workbook." type="5" refreshedVersion="7" background="1" saveData="1">
    <dbPr connection="Provider=Microsoft.Mashup.OleDb.1;Data Source=$Workbook$;Location=Sheet1__4;Extended Properties=&quot;&quot;" command="SELECT * FROM [Sheet1__4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<sst xmlns="http://schemas.openxmlformats.org/spreadsheetml/2006/main" count="14017" uniqueCount="249">
  <si>
    <t>Month</t>
  </si>
  <si>
    <t>Channel</t>
  </si>
  <si>
    <t>Market</t>
  </si>
  <si>
    <t>Format</t>
  </si>
  <si>
    <t>Pillar</t>
  </si>
  <si>
    <t>Master Pillar</t>
  </si>
  <si>
    <t>Engagements</t>
  </si>
  <si>
    <t>Comments</t>
  </si>
  <si>
    <t>Likes</t>
  </si>
  <si>
    <t>Impressions</t>
  </si>
  <si>
    <t>Reach</t>
  </si>
  <si>
    <t>ER (Eng/Reach)</t>
  </si>
  <si>
    <t>July</t>
  </si>
  <si>
    <t>Facebook</t>
  </si>
  <si>
    <t>Belgium</t>
  </si>
  <si>
    <t>Video</t>
  </si>
  <si>
    <t>Product</t>
  </si>
  <si>
    <t>Product Education</t>
  </si>
  <si>
    <t>Agile</t>
  </si>
  <si>
    <t>Awareness</t>
  </si>
  <si>
    <t>Product Feature</t>
  </si>
  <si>
    <t>Campaign</t>
  </si>
  <si>
    <t>Giveaway Promotion</t>
  </si>
  <si>
    <t>Seasonal</t>
  </si>
  <si>
    <t>España</t>
  </si>
  <si>
    <t>Greece</t>
  </si>
  <si>
    <t>Hongkong</t>
  </si>
  <si>
    <t>Japan</t>
  </si>
  <si>
    <t>Education</t>
  </si>
  <si>
    <t>Bousai Education</t>
  </si>
  <si>
    <t>Middle East</t>
  </si>
  <si>
    <t>Taiwan</t>
  </si>
  <si>
    <t>Thailand</t>
  </si>
  <si>
    <t>Turkey</t>
  </si>
  <si>
    <t>Vietnam</t>
  </si>
  <si>
    <t>Česká republika</t>
  </si>
  <si>
    <t>Instagram</t>
  </si>
  <si>
    <t>August</t>
  </si>
  <si>
    <t>Influencer Repost</t>
  </si>
  <si>
    <t>September</t>
  </si>
  <si>
    <t>Photo</t>
  </si>
  <si>
    <t>October</t>
  </si>
  <si>
    <t>November</t>
  </si>
  <si>
    <t>International</t>
  </si>
  <si>
    <t>Influencer</t>
  </si>
  <si>
    <t>MONTHLY PERFORMANCE SUMMARY</t>
  </si>
  <si>
    <t>Posts</t>
  </si>
  <si>
    <t>Avg Eng/Post</t>
  </si>
  <si>
    <t>ER (Eng/Imp)</t>
  </si>
  <si>
    <t>TOTAL</t>
  </si>
  <si>
    <t>MONTH-ON-MONTH GROWTH</t>
  </si>
  <si>
    <t>Period</t>
  </si>
  <si>
    <t>Eng Growth %</t>
  </si>
  <si>
    <t>Imp Growth %</t>
  </si>
  <si>
    <t>Reach Growth %</t>
  </si>
  <si>
    <t>Jul→Aug</t>
  </si>
  <si>
    <t>Aug→Sep</t>
  </si>
  <si>
    <t>Sep→Oct</t>
  </si>
  <si>
    <t>Oct→Nov</t>
  </si>
  <si>
    <t>CHANNEL PERFORMANCE COMPARISON</t>
  </si>
  <si>
    <t>CHANNEL × MONTH BREAKDOWN (Engagements)</t>
  </si>
  <si>
    <t>Total</t>
  </si>
  <si>
    <t>FB Share %</t>
  </si>
  <si>
    <t>Total Eng</t>
  </si>
  <si>
    <t>Total Imp</t>
  </si>
  <si>
    <t>% of Total Eng</t>
  </si>
  <si>
    <t>Rank</t>
  </si>
  <si>
    <t>CONTENT FORMAT PERFORMANCE</t>
  </si>
  <si>
    <t>Avg Reach/Post</t>
  </si>
  <si>
    <t>% of Posts</t>
  </si>
  <si>
    <t>FORMAT × CHANNEL (Avg Eng/Post)</t>
  </si>
  <si>
    <t>MARKET PERFORMANCE ANALYSIS</t>
  </si>
  <si>
    <t>Total Reach</t>
  </si>
  <si>
    <t>Tier</t>
  </si>
  <si>
    <t>STATISTICAL &amp; DISTRIBUTION ANALYSIS</t>
  </si>
  <si>
    <t>DESCRIPTIVE STATISTICS</t>
  </si>
  <si>
    <t>Statistic</t>
  </si>
  <si>
    <t>Count</t>
  </si>
  <si>
    <t>Sum</t>
  </si>
  <si>
    <t>Mean (Average)</t>
  </si>
  <si>
    <t>Median</t>
  </si>
  <si>
    <t>Std Deviation</t>
  </si>
  <si>
    <t>Minimum</t>
  </si>
  <si>
    <t>Maximum</t>
  </si>
  <si>
    <t>OCTOBER ANOMALY DEEP-DIVE</t>
  </si>
  <si>
    <t>SEPTEMBER vs OCTOBER COMPARISON</t>
  </si>
  <si>
    <t>Metric</t>
  </si>
  <si>
    <t>Change</t>
  </si>
  <si>
    <t>% Change</t>
  </si>
  <si>
    <t>Flag</t>
  </si>
  <si>
    <t>Total Posts</t>
  </si>
  <si>
    <t>Total Engagements</t>
  </si>
  <si>
    <t>FB Engagements</t>
  </si>
  <si>
    <t>IG Engagements</t>
  </si>
  <si>
    <t>Total Impressions</t>
  </si>
  <si>
    <t>TOP 10 POSTS BY ENGAGEMENTS</t>
  </si>
  <si>
    <t>NOTE: All Top 10 posts are Product Education videos from APAC markets (Thailand, Vietnam, Taiwan) on Facebook.</t>
  </si>
  <si>
    <t>Avg Engagement Rate</t>
  </si>
  <si>
    <t>Avg Reach by post</t>
  </si>
  <si>
    <t>Avg Engagement Rate (Eng/Reach)</t>
  </si>
  <si>
    <t>Overall Avg</t>
  </si>
  <si>
    <t>Hungary</t>
  </si>
  <si>
    <t>Album</t>
  </si>
  <si>
    <t>Unknown</t>
  </si>
  <si>
    <t>Avg ER (%)</t>
  </si>
  <si>
    <t>MASTER PILLAR PERFORMANCE ANALYSIS</t>
  </si>
  <si>
    <t>Avg engagement rate</t>
  </si>
  <si>
    <t>Avg Engagement Rate (%)</t>
  </si>
  <si>
    <t xml:space="preserve">Key Insights </t>
  </si>
  <si>
    <t>📊 PERFORMANCE SNAPSHOT</t>
  </si>
  <si>
    <t>Total Posts Analysed</t>
  </si>
  <si>
    <t>Overall Avg Engagement Rate</t>
  </si>
  <si>
    <t>Peak Month</t>
  </si>
  <si>
    <t>September (585,696 engagements)</t>
  </si>
  <si>
    <t>Top Market</t>
  </si>
  <si>
    <t>Company X Thailand (avg 8,501 eng/post)</t>
  </si>
  <si>
    <t>Top Content Pillar</t>
  </si>
  <si>
    <t>Product Education (893K total engagements)</t>
  </si>
  <si>
    <t>Top Format</t>
  </si>
  <si>
    <t>Video (avg 1,690 eng/post on Facebook)</t>
  </si>
  <si>
    <t>CONTENT PILLAR PERFORMANCE SUMMARY</t>
  </si>
  <si>
    <t>Content Pillar</t>
  </si>
  <si>
    <t>Performance</t>
  </si>
  <si>
    <t>CSR &amp; Community</t>
  </si>
  <si>
    <t>Oct Posts</t>
  </si>
  <si>
    <t>Oct Total Eng</t>
  </si>
  <si>
    <t>Oct Avg Eng/Post</t>
  </si>
  <si>
    <t>Oct Avg ER %</t>
  </si>
  <si>
    <t>Oct Total Imp</t>
  </si>
  <si>
    <t>Scenario</t>
  </si>
  <si>
    <t>Avg Eng Used</t>
  </si>
  <si>
    <t>Projected Total Eng</t>
  </si>
  <si>
    <t>Actual Oct Eng</t>
  </si>
  <si>
    <t>Lost Engagements</t>
  </si>
  <si>
    <t>October at September Avg</t>
  </si>
  <si>
    <t>October at Campaign Avg</t>
  </si>
  <si>
    <t>LOST ENGAGEMENT SCENARIO ANALYSIS</t>
  </si>
  <si>
    <t>⚠  October : 134 posts, only 450 total engagements — a 99.9% collapse vs September peak</t>
  </si>
  <si>
    <t>Avg ER %</t>
  </si>
  <si>
    <t>⚠  8 Campaign posts averaged 18,854 eng/post — 4× higher than Product Education, the next-best pillar</t>
  </si>
  <si>
    <t>Profile (Market)</t>
  </si>
  <si>
    <t>Posted Date</t>
  </si>
  <si>
    <t>Like</t>
  </si>
  <si>
    <t>Engagement Rates</t>
  </si>
  <si>
    <t xml:space="preserve">July </t>
  </si>
  <si>
    <t xml:space="preserve"> Japan</t>
  </si>
  <si>
    <t>video</t>
  </si>
  <si>
    <t>Jul 29th 2025</t>
  </si>
  <si>
    <t xml:space="preserve"> Middle East</t>
  </si>
  <si>
    <t xml:space="preserve"> Spain</t>
  </si>
  <si>
    <t xml:space="preserve"> Česká republika</t>
  </si>
  <si>
    <t xml:space="preserve"> Vietnam</t>
  </si>
  <si>
    <t xml:space="preserve"> Turkey</t>
  </si>
  <si>
    <t xml:space="preserve"> Thailand</t>
  </si>
  <si>
    <t xml:space="preserve"> Taiwan</t>
  </si>
  <si>
    <t xml:space="preserve"> Hungary.</t>
  </si>
  <si>
    <t xml:space="preserve"> Hongkong</t>
  </si>
  <si>
    <t xml:space="preserve"> Belgium</t>
  </si>
  <si>
    <t xml:space="preserve"> Greece</t>
  </si>
  <si>
    <t>Jul 25th 2025</t>
  </si>
  <si>
    <t>Jul 22nd 2025</t>
  </si>
  <si>
    <t>Jul 20th 2025</t>
  </si>
  <si>
    <t>album</t>
  </si>
  <si>
    <t>Jul 19th 2025</t>
  </si>
  <si>
    <t>Giveaway promotion</t>
  </si>
  <si>
    <t>Jul 18th 2025</t>
  </si>
  <si>
    <t>Jul 17th 2025</t>
  </si>
  <si>
    <t>Jul 13th 2025</t>
  </si>
  <si>
    <t>Jul 12th 2025</t>
  </si>
  <si>
    <t>Jul 9th 2025</t>
  </si>
  <si>
    <t>Jul 6th 2025</t>
  </si>
  <si>
    <t>Jul 1st 2025</t>
  </si>
  <si>
    <t>Jul 2nd 2025</t>
  </si>
  <si>
    <t>Product Features</t>
  </si>
  <si>
    <t xml:space="preserve">August </t>
  </si>
  <si>
    <t>Aug 11th 2025</t>
  </si>
  <si>
    <t>Aug 12th 2025</t>
  </si>
  <si>
    <t>Aug 19th 2025</t>
  </si>
  <si>
    <t>Aug 25th 2025</t>
  </si>
  <si>
    <t>Aug 31st 2025</t>
  </si>
  <si>
    <t>Aug 5th 2025</t>
  </si>
  <si>
    <t>giveaway promotion</t>
  </si>
  <si>
    <t>Aug 7th 2025</t>
  </si>
  <si>
    <t xml:space="preserve">Seasonal </t>
  </si>
  <si>
    <t>Aug 30th 2025</t>
  </si>
  <si>
    <t xml:space="preserve">September </t>
  </si>
  <si>
    <t>Sep 29th 2025</t>
  </si>
  <si>
    <t>Sep 22nd 2025</t>
  </si>
  <si>
    <t>photo</t>
  </si>
  <si>
    <t>Sep 21st 2025</t>
  </si>
  <si>
    <t>Post doesn’t Exist</t>
  </si>
  <si>
    <t>Post doesn’t exist</t>
  </si>
  <si>
    <t>Sep 20th 2025</t>
  </si>
  <si>
    <t>Sep 19th 2025</t>
  </si>
  <si>
    <t>Sep 14th 2025</t>
  </si>
  <si>
    <t>Sep 9th 2025</t>
  </si>
  <si>
    <t>Sep 5th 2025</t>
  </si>
  <si>
    <t xml:space="preserve">October </t>
  </si>
  <si>
    <t>Oct 31st 2025</t>
  </si>
  <si>
    <t>unknown</t>
  </si>
  <si>
    <t>Oct 26th 2025</t>
  </si>
  <si>
    <t>Oct 19th 2025</t>
  </si>
  <si>
    <t>Oct 18th 2025</t>
  </si>
  <si>
    <t>Oct 13th 2025</t>
  </si>
  <si>
    <t>Oct 11th 2025</t>
  </si>
  <si>
    <t>Oct 10th 2025</t>
  </si>
  <si>
    <t>Oct 7th 2025</t>
  </si>
  <si>
    <t>Oct 3rd 2025</t>
  </si>
  <si>
    <t>Oct 1st 2025</t>
  </si>
  <si>
    <t xml:space="preserve">November </t>
  </si>
  <si>
    <t>Nov 30th 2025</t>
  </si>
  <si>
    <t>Product feature</t>
  </si>
  <si>
    <t xml:space="preserve"> International</t>
  </si>
  <si>
    <t>Nov 29th 2025</t>
  </si>
  <si>
    <t>Nov 28th 2025</t>
  </si>
  <si>
    <t xml:space="preserve">Product </t>
  </si>
  <si>
    <t>Nov 25th 2025</t>
  </si>
  <si>
    <t>Nov 22nd 2025</t>
  </si>
  <si>
    <t>Nov 21st 2025</t>
  </si>
  <si>
    <t>Nov 15th 2025</t>
  </si>
  <si>
    <t>Nov 10th 2025</t>
  </si>
  <si>
    <t>Nov 4th 2025</t>
  </si>
  <si>
    <t>Nov 3rd 2025</t>
  </si>
  <si>
    <t>Nov 2nd 2025</t>
  </si>
  <si>
    <t>Nov 1st 2025</t>
  </si>
  <si>
    <t>IMAGE</t>
  </si>
  <si>
    <t>MARKET SUMMARY</t>
  </si>
  <si>
    <t>Count of Posts</t>
  </si>
  <si>
    <t>Avg Engagement</t>
  </si>
  <si>
    <t>Total Likes</t>
  </si>
  <si>
    <t>Total Comments</t>
  </si>
  <si>
    <t>Hungary.</t>
  </si>
  <si>
    <t>Spain</t>
  </si>
  <si>
    <t>a) Key Performance Trends Observed</t>
  </si>
  <si>
    <t>a) Key Performance Trends Observed
The September Peak: The campaign hit its ultimate performance climax in September, generating 585,696 engagements and achieving a high industry-standard Engagement Rate (ER) of 29.3%.
Platform Dominance: Facebook completely carried this campaign. Out of over 1.06 million total engagements, Facebook claimed 99.8% of the share, leaving Instagram with less than 1,100 total engagements across the entire tracking period.
The Volatility Curve: Performance was incredibly volatile, building up from July, exploding in August/September, and completely dropping off at the end of the timeline</t>
  </si>
  <si>
    <t>b) Better vs. Weaker Content
Stronger Performers: Content framed under the Campaign and Product Education pillars smashed expectations. Geographically, Thailand (8,501 average engagements/post) and Vietnam (5,339 average engagements/post) were your clear star markets.
Weaker Performers: Product Features (3.5 average engagements/post) and Bousai Education (3.3 average engagements/post) generated virtually zero traction. Geographically, European markets like Belgium, Greece, and Hungary sat firmly at the bottom.</t>
  </si>
  <si>
    <t>c) Unusual Patterns or Outliers Identified
The Great October Collapse: There is a staggering anomaly in October. While output remained high (134 posts), total engagements dropped to a near-impossible 450 engagements—a 99.9% collapse compared to September. This indicates an algorithmic penalty, a total cessation of paid ad budget, or severe data tracking breakages.
The Campaign Pillar Spike: Only 8 posts were classified under the "Campaign" pillar, but they averaged 18,854 engagements per post. This is a massive statistical outlier driven by a highly concentrated hyper-viral response or targeted ad spend.</t>
  </si>
  <si>
    <t>a) Which content pillar drives stronger engagement?
Product Education is your main horse, driving 893,797 total engagements across 202 posts. However, on a normalized basis, the Campaign pillar yields the highest density of interactions per post.</t>
  </si>
  <si>
    <t>Avg. Engagements / Post</t>
  </si>
  <si>
    <t>Performance Status</t>
  </si>
  <si>
    <t>✔ Strong</t>
  </si>
  <si>
    <t>✘ Weak</t>
  </si>
  <si>
    <t>b) Which post format performed better?
Video is the clear winner. It accounted for 631 out of 649 total tracked posts and captured 1,066,499 total engagements with an ER of 11.87%.
Photos showed a strong average performance (1,001.5 engagements/post), but with a sample size of only 2 posts, it cannot be deemed a scalable trend. Carousel Albums completely underperformed, generating only 5 engagements per post</t>
  </si>
  <si>
    <t>c) Possible Reasons for Performance Differences
Paid Budget Allocation vs. Organic Reach: The massive engagement numbers on Facebook Video content for "Product Education" strongly point toward paid media amplification. When the budget stopped (likely October), reach collapsed.
Audience Intent &amp; Localization: Southeast Asian markets (Thailand, Vietnam) responded aggressively to video-first product education. European audiences showed low friction or poor localization, resulting in flatlines.
Feature Fatigue: Posts labeled "Product Feature" look like standard corporate feature-dumping, which audiences find unengaging compared to higher-level storytelling found in "Product Education" or incentivized "Campaigns".</t>
  </si>
  <si>
    <t>a) Impressions (9,179,500 Total)
What it means: The total number of times your content was displayed on a screen.
Business Perspective: This represents your maximum brand awareness footprint. With over 9.1 million impressions, your brand built significant top-of-funnel visibility, primarily in August and September.</t>
  </si>
  <si>
    <t>c) Engagements (1,068,580 Total)
What it means: The total volume of intentional interactions (likes, comments, shares, clicks).
Business Perspective: Over a million actions indicate deep audience validation. Your content didn't just drift past people's eyes; it successfully stopped the thumb-scroll.</t>
  </si>
  <si>
    <t>d) Engagement Rate (7.99% Overall Avg.)
What it means: Total Engagements divided by Total Impressions.
Business Perspective: An average ER of ~8% across nearly 10 million impressions is excellent (standard benchmarks hover around 1%–3%). This proves that when your content reached the target audience, the product messaging resonated beautifully.</t>
  </si>
  <si>
    <t>e) Likes (783 Total) vs. Comments (1,014 Total)
What it means: This dataset shows an incredibly strange anomaly—very low likes and comments relative to massive overall engagement numbers.
Business Perspective: Out of 1.06M engagements, less than 2,000 came from Likes or Comments. This reveals that your engagements are almost purely driven by Link Clicks, Shares, or Video Views (expanded to 3+ seconds). From a business perspective, this is fantastic news. It implies your audience isn't just passively "liking" a pretty picture—they are taking high-intent actions, such as clicking through to a landing page or consuming video content deeply.</t>
  </si>
  <si>
    <t>FORMAT × MONTH (Avg Eng/Post)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</si>
</sst>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\%"/>
  </numFmts>
  <fonts count="3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B2A4A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rgb="FF1B2A4A"/>
      <name val="Arial"/>
      <family val="2"/>
    </font>
    <font>
      <i/>
      <sz val="10"/>
      <color rgb="FFD94B4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Calibri"/>
      <family val="2"/>
      <charset val="1"/>
    </font>
    <font>
      <b/>
      <sz val="14"/>
      <color rgb="FFFFFFFF"/>
      <name val="Arial"/>
      <family val="2"/>
    </font>
    <font>
      <b/>
      <sz val="12"/>
      <color rgb="FFFFFFFF"/>
      <name val="Calibri"/>
      <family val="2"/>
      <charset val="1"/>
    </font>
    <font>
      <i/>
      <sz val="11"/>
      <color rgb="FF595959"/>
      <name val="Calibri"/>
      <family val="2"/>
      <charset val="1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3"/>
      <color rgb="FFFFFFFF"/>
      <name val="Calibri"/>
      <family val="2"/>
      <charset val="1"/>
    </font>
    <font>
      <b/>
      <sz val="9"/>
      <color rgb="FFFFFFFF"/>
      <name val="Arial"/>
      <family val="2"/>
    </font>
    <font>
      <b/>
      <sz val="10"/>
      <color rgb="FF1E2761"/>
      <name val="Arial"/>
      <family val="2"/>
    </font>
    <font>
      <sz val="10"/>
      <color rgb="FF2463AE"/>
      <name val="Arial"/>
      <family val="2"/>
    </font>
    <font>
      <b/>
      <sz val="10"/>
      <color rgb="FFC00000"/>
      <name val="Arial"/>
      <family val="2"/>
    </font>
    <font>
      <b/>
      <sz val="13.5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rgb="FFE8792B"/>
        <bgColor rgb="FFFF9900"/>
      </patternFill>
    </fill>
    <fill>
      <patternFill patternType="solid">
        <fgColor rgb="FF2E75B6"/>
        <bgColor rgb="FF4F81BD"/>
      </patternFill>
    </fill>
    <fill>
      <patternFill patternType="solid">
        <fgColor theme="3" tint="-0.249977111117893"/>
        <bgColor rgb="FF4F81BD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theme="0"/>
        <bgColor rgb="FF4F81BD"/>
      </patternFill>
    </fill>
    <fill>
      <patternFill patternType="solid">
        <fgColor rgb="FF1F4E7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8F5E9"/>
      </patternFill>
    </fill>
    <fill>
      <patternFill patternType="solid">
        <fgColor rgb="FF1E2761"/>
        <bgColor rgb="FF333333"/>
      </patternFill>
    </fill>
    <fill>
      <patternFill patternType="solid">
        <fgColor rgb="FFDBEAFE"/>
        <bgColor rgb="FFEFF6FF"/>
      </patternFill>
    </fill>
    <fill>
      <patternFill patternType="solid">
        <fgColor rgb="FFDCFCE7"/>
        <bgColor rgb="FFEFF6FF"/>
      </patternFill>
    </fill>
    <fill>
      <patternFill patternType="solid">
        <fgColor rgb="FFFFFFFF"/>
        <bgColor rgb="FFFFFDE7"/>
      </patternFill>
    </fill>
    <fill>
      <patternFill patternType="solid">
        <fgColor rgb="FFFEF3C7"/>
        <bgColor rgb="FFFFFDE7"/>
      </patternFill>
    </fill>
    <fill>
      <patternFill patternType="solid">
        <fgColor rgb="FFF2F4F8"/>
        <bgColor rgb="FFEFF6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DE9D9"/>
      </patternFill>
    </fill>
    <fill>
      <patternFill patternType="solid">
        <fgColor rgb="FFF2F2F2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D6E4F0"/>
        <bgColor indexed="64"/>
      </patternFill>
    </fill>
  </fills>
  <borders count="2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1F4E79"/>
      </left>
      <right style="thin">
        <color rgb="FFBDD7EE"/>
      </right>
      <top style="thin">
        <color rgb="FF1F4E79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1F4E79"/>
      </top>
      <bottom style="thin">
        <color rgb="FFBDD7EE"/>
      </bottom>
      <diagonal/>
    </border>
    <border>
      <left style="thin">
        <color rgb="FFBDD7EE"/>
      </left>
      <right style="thin">
        <color rgb="FF1F4E79"/>
      </right>
      <top style="thin">
        <color rgb="FF1F4E79"/>
      </top>
      <bottom style="thin">
        <color rgb="FFBDD7EE"/>
      </bottom>
      <diagonal/>
    </border>
    <border>
      <left style="thin">
        <color rgb="FF1F4E79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1F4E79"/>
      </right>
      <top style="thin">
        <color rgb="FFBDD7EE"/>
      </top>
      <bottom style="thin">
        <color rgb="FFBDD7EE"/>
      </bottom>
      <diagonal/>
    </border>
    <border>
      <left style="thin">
        <color rgb="FF1F4E79"/>
      </left>
      <right style="thin">
        <color rgb="FFBDD7EE"/>
      </right>
      <top style="thin">
        <color rgb="FFBDD7EE"/>
      </top>
      <bottom style="thin">
        <color rgb="FF1F4E79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1F4E79"/>
      </bottom>
      <diagonal/>
    </border>
    <border>
      <left style="thin">
        <color rgb="FFBDD7EE"/>
      </left>
      <right style="thin">
        <color rgb="FF1F4E79"/>
      </right>
      <top style="thin">
        <color rgb="FFBDD7EE"/>
      </top>
      <bottom style="thin">
        <color rgb="FF1F4E79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1F4E79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 style="thin">
        <color rgb="FF1F4E79"/>
      </right>
      <top/>
      <bottom style="thin">
        <color rgb="FFBDD7EE"/>
      </bottom>
      <diagonal/>
    </border>
    <border>
      <left style="thin">
        <color rgb="FFBDD7EE"/>
      </left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68">
    <xf numFmtId="0" fontId="0" fillId="0" borderId="0" xfId="0"/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3" fontId="5" fillId="3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64" fontId="5" fillId="3" borderId="1" xfId="0" applyNumberFormat="1" applyFont="1" applyFill="1" applyBorder="1" applyAlignment="1">
      <alignment vertical="center"/>
    </xf>
    <xf numFmtId="165" fontId="5" fillId="3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/>
    <xf numFmtId="3" fontId="3" fillId="2" borderId="1" xfId="0" applyNumberFormat="1" applyFont="1" applyFill="1" applyBorder="1" applyAlignment="1"/>
    <xf numFmtId="164" fontId="3" fillId="2" borderId="1" xfId="0" applyNumberFormat="1" applyFont="1" applyFill="1" applyBorder="1" applyAlignment="1"/>
    <xf numFmtId="165" fontId="3" fillId="2" borderId="1" xfId="0" applyNumberFormat="1" applyFont="1" applyFill="1" applyBorder="1" applyAlignment="1"/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/>
    <xf numFmtId="165" fontId="0" fillId="0" borderId="1" xfId="0" applyNumberFormat="1" applyBorder="1" applyAlignment="1"/>
    <xf numFmtId="0" fontId="5" fillId="4" borderId="1" xfId="0" applyFont="1" applyFill="1" applyBorder="1" applyAlignment="1"/>
    <xf numFmtId="3" fontId="0" fillId="0" borderId="1" xfId="0" applyNumberFormat="1" applyBorder="1" applyAlignment="1"/>
    <xf numFmtId="164" fontId="5" fillId="0" borderId="1" xfId="0" applyNumberFormat="1" applyFont="1" applyBorder="1" applyAlignment="1"/>
    <xf numFmtId="0" fontId="4" fillId="4" borderId="0" xfId="0" applyFont="1" applyFill="1" applyAlignment="1"/>
    <xf numFmtId="3" fontId="5" fillId="0" borderId="1" xfId="0" applyNumberFormat="1" applyFont="1" applyBorder="1" applyAlignment="1"/>
    <xf numFmtId="165" fontId="5" fillId="0" borderId="1" xfId="0" applyNumberFormat="1" applyFont="1" applyBorder="1" applyAlignment="1"/>
    <xf numFmtId="165" fontId="4" fillId="0" borderId="1" xfId="0" applyNumberFormat="1" applyFont="1" applyBorder="1" applyAlignment="1"/>
    <xf numFmtId="164" fontId="4" fillId="0" borderId="1" xfId="0" applyNumberFormat="1" applyFont="1" applyBorder="1" applyAlignment="1"/>
    <xf numFmtId="3" fontId="4" fillId="0" borderId="1" xfId="0" applyNumberFormat="1" applyFont="1" applyBorder="1" applyAlignment="1"/>
    <xf numFmtId="0" fontId="4" fillId="4" borderId="1" xfId="0" applyFont="1" applyFill="1" applyBorder="1" applyAlignment="1"/>
    <xf numFmtId="0" fontId="0" fillId="0" borderId="1" xfId="0" applyBorder="1" applyAlignment="1"/>
    <xf numFmtId="0" fontId="5" fillId="3" borderId="1" xfId="0" applyFont="1" applyFill="1" applyBorder="1" applyAlignment="1"/>
    <xf numFmtId="3" fontId="5" fillId="3" borderId="1" xfId="0" applyNumberFormat="1" applyFont="1" applyFill="1" applyBorder="1" applyAlignment="1"/>
    <xf numFmtId="0" fontId="9" fillId="7" borderId="2" xfId="0" applyFont="1" applyFill="1" applyBorder="1" applyAlignment="1">
      <alignment horizontal="center" vertical="center" wrapText="1"/>
    </xf>
    <xf numFmtId="0" fontId="10" fillId="8" borderId="0" xfId="0" applyFont="1" applyFill="1" applyAlignment="1"/>
    <xf numFmtId="10" fontId="0" fillId="0" borderId="0" xfId="0" applyNumberFormat="1" applyAlignment="1"/>
    <xf numFmtId="0" fontId="3" fillId="2" borderId="3" xfId="0" applyFont="1" applyFill="1" applyBorder="1" applyAlignment="1">
      <alignment horizontal="center" vertical="center" wrapText="1"/>
    </xf>
    <xf numFmtId="3" fontId="3" fillId="9" borderId="1" xfId="0" applyNumberFormat="1" applyFont="1" applyFill="1" applyBorder="1" applyAlignment="1"/>
    <xf numFmtId="0" fontId="3" fillId="9" borderId="1" xfId="0" applyFont="1" applyFill="1" applyBorder="1" applyAlignment="1">
      <alignment horizontal="center" vertical="center" wrapText="1"/>
    </xf>
    <xf numFmtId="0" fontId="0" fillId="10" borderId="0" xfId="0" applyFill="1" applyAlignment="1"/>
    <xf numFmtId="0" fontId="5" fillId="11" borderId="1" xfId="0" applyFont="1" applyFill="1" applyBorder="1" applyAlignment="1">
      <alignment vertical="center"/>
    </xf>
    <xf numFmtId="3" fontId="5" fillId="11" borderId="1" xfId="0" applyNumberFormat="1" applyFont="1" applyFill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3" fontId="5" fillId="10" borderId="1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10" fontId="0" fillId="0" borderId="0" xfId="0" applyNumberFormat="1"/>
    <xf numFmtId="10" fontId="0" fillId="0" borderId="0" xfId="0" applyNumberFormat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3" fontId="11" fillId="0" borderId="0" xfId="0" applyNumberFormat="1" applyFont="1" applyAlignment="1">
      <alignment horizontal="right" vertical="center" wrapText="1"/>
    </xf>
    <xf numFmtId="10" fontId="11" fillId="0" borderId="0" xfId="0" applyNumberFormat="1" applyFont="1" applyAlignment="1">
      <alignment horizontal="right" vertical="center" wrapText="1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9" fillId="14" borderId="2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left" vertical="center"/>
    </xf>
    <xf numFmtId="3" fontId="0" fillId="16" borderId="9" xfId="0" applyNumberFormat="1" applyFill="1" applyBorder="1" applyAlignment="1">
      <alignment horizontal="right"/>
    </xf>
    <xf numFmtId="4" fontId="0" fillId="16" borderId="9" xfId="0" applyNumberFormat="1" applyFill="1" applyBorder="1" applyAlignment="1">
      <alignment horizontal="right"/>
    </xf>
    <xf numFmtId="10" fontId="0" fillId="16" borderId="9" xfId="0" applyNumberFormat="1" applyFill="1" applyBorder="1" applyAlignment="1">
      <alignment horizontal="right"/>
    </xf>
    <xf numFmtId="3" fontId="0" fillId="17" borderId="9" xfId="0" applyNumberFormat="1" applyFill="1" applyBorder="1" applyAlignment="1">
      <alignment horizontal="right"/>
    </xf>
    <xf numFmtId="4" fontId="0" fillId="17" borderId="9" xfId="0" applyNumberFormat="1" applyFill="1" applyBorder="1" applyAlignment="1">
      <alignment horizontal="right"/>
    </xf>
    <xf numFmtId="10" fontId="0" fillId="17" borderId="9" xfId="0" applyNumberFormat="1" applyFill="1" applyBorder="1" applyAlignment="1">
      <alignment horizontal="right"/>
    </xf>
    <xf numFmtId="3" fontId="14" fillId="15" borderId="12" xfId="0" applyNumberFormat="1" applyFont="1" applyFill="1" applyBorder="1" applyAlignment="1">
      <alignment horizontal="right"/>
    </xf>
    <xf numFmtId="4" fontId="14" fillId="15" borderId="12" xfId="0" applyNumberFormat="1" applyFont="1" applyFill="1" applyBorder="1" applyAlignment="1">
      <alignment horizontal="right"/>
    </xf>
    <xf numFmtId="10" fontId="14" fillId="15" borderId="12" xfId="0" applyNumberFormat="1" applyFont="1" applyFill="1" applyBorder="1" applyAlignment="1">
      <alignment horizontal="right"/>
    </xf>
    <xf numFmtId="0" fontId="14" fillId="10" borderId="0" xfId="0" applyFont="1" applyFill="1" applyAlignment="1">
      <alignment horizontal="center"/>
    </xf>
    <xf numFmtId="0" fontId="0" fillId="10" borderId="8" xfId="0" applyFill="1" applyBorder="1" applyAlignment="1"/>
    <xf numFmtId="0" fontId="0" fillId="10" borderId="9" xfId="0" applyFill="1" applyBorder="1" applyAlignment="1">
      <alignment horizontal="right"/>
    </xf>
    <xf numFmtId="3" fontId="0" fillId="10" borderId="9" xfId="0" applyNumberFormat="1" applyFill="1" applyBorder="1" applyAlignment="1">
      <alignment horizontal="right"/>
    </xf>
    <xf numFmtId="4" fontId="0" fillId="10" borderId="9" xfId="0" applyNumberFormat="1" applyFill="1" applyBorder="1" applyAlignment="1">
      <alignment horizontal="right"/>
    </xf>
    <xf numFmtId="10" fontId="0" fillId="10" borderId="9" xfId="0" applyNumberFormat="1" applyFill="1" applyBorder="1" applyAlignment="1">
      <alignment horizontal="right"/>
    </xf>
    <xf numFmtId="165" fontId="0" fillId="10" borderId="10" xfId="0" applyNumberFormat="1" applyFill="1" applyBorder="1" applyAlignment="1">
      <alignment horizontal="right"/>
    </xf>
    <xf numFmtId="0" fontId="14" fillId="10" borderId="11" xfId="0" applyFont="1" applyFill="1" applyBorder="1" applyAlignment="1"/>
    <xf numFmtId="3" fontId="14" fillId="10" borderId="12" xfId="0" applyNumberFormat="1" applyFont="1" applyFill="1" applyBorder="1" applyAlignment="1">
      <alignment horizontal="right"/>
    </xf>
    <xf numFmtId="4" fontId="14" fillId="10" borderId="12" xfId="0" applyNumberFormat="1" applyFont="1" applyFill="1" applyBorder="1" applyAlignment="1">
      <alignment horizontal="right"/>
    </xf>
    <xf numFmtId="10" fontId="14" fillId="10" borderId="12" xfId="0" applyNumberFormat="1" applyFont="1" applyFill="1" applyBorder="1" applyAlignment="1">
      <alignment horizontal="right"/>
    </xf>
    <xf numFmtId="165" fontId="14" fillId="10" borderId="13" xfId="0" applyNumberFormat="1" applyFont="1" applyFill="1" applyBorder="1" applyAlignment="1">
      <alignment horizontal="right"/>
    </xf>
    <xf numFmtId="4" fontId="8" fillId="10" borderId="0" xfId="0" applyNumberFormat="1" applyFont="1" applyFill="1" applyAlignment="1">
      <alignment vertical="center" wrapText="1"/>
    </xf>
    <xf numFmtId="0" fontId="8" fillId="10" borderId="0" xfId="0" applyFont="1" applyFill="1" applyAlignment="1">
      <alignment vertical="center" wrapText="1"/>
    </xf>
    <xf numFmtId="0" fontId="13" fillId="11" borderId="14" xfId="0" applyFont="1" applyFill="1" applyBorder="1" applyAlignment="1">
      <alignment horizontal="left" vertical="center"/>
    </xf>
    <xf numFmtId="0" fontId="14" fillId="18" borderId="5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18" borderId="7" xfId="0" applyFont="1" applyFill="1" applyBorder="1" applyAlignment="1">
      <alignment horizontal="center"/>
    </xf>
    <xf numFmtId="0" fontId="5" fillId="17" borderId="8" xfId="0" applyFont="1" applyFill="1" applyBorder="1" applyAlignment="1">
      <alignment vertical="center"/>
    </xf>
    <xf numFmtId="0" fontId="5" fillId="16" borderId="8" xfId="0" applyFont="1" applyFill="1" applyBorder="1" applyAlignment="1">
      <alignment vertical="center"/>
    </xf>
    <xf numFmtId="0" fontId="1" fillId="16" borderId="8" xfId="0" applyFont="1" applyFill="1" applyBorder="1" applyAlignment="1">
      <alignment vertical="center"/>
    </xf>
    <xf numFmtId="0" fontId="1" fillId="17" borderId="8" xfId="0" applyFont="1" applyFill="1" applyBorder="1" applyAlignment="1">
      <alignment vertical="center"/>
    </xf>
    <xf numFmtId="0" fontId="3" fillId="15" borderId="11" xfId="0" applyFont="1" applyFill="1" applyBorder="1" applyAlignment="1">
      <alignment vertical="center"/>
    </xf>
    <xf numFmtId="165" fontId="3" fillId="15" borderId="13" xfId="0" applyNumberFormat="1" applyFont="1" applyFill="1" applyBorder="1" applyAlignment="1">
      <alignment horizontal="right" vertical="center"/>
    </xf>
    <xf numFmtId="0" fontId="0" fillId="10" borderId="16" xfId="0" applyFill="1" applyBorder="1" applyAlignment="1"/>
    <xf numFmtId="0" fontId="0" fillId="10" borderId="17" xfId="0" applyFill="1" applyBorder="1" applyAlignment="1">
      <alignment horizontal="right"/>
    </xf>
    <xf numFmtId="3" fontId="0" fillId="10" borderId="17" xfId="0" applyNumberFormat="1" applyFill="1" applyBorder="1" applyAlignment="1">
      <alignment horizontal="right"/>
    </xf>
    <xf numFmtId="4" fontId="0" fillId="10" borderId="17" xfId="0" applyNumberFormat="1" applyFill="1" applyBorder="1" applyAlignment="1">
      <alignment horizontal="right"/>
    </xf>
    <xf numFmtId="10" fontId="0" fillId="10" borderId="17" xfId="0" applyNumberFormat="1" applyFill="1" applyBorder="1" applyAlignment="1">
      <alignment horizontal="right"/>
    </xf>
    <xf numFmtId="165" fontId="0" fillId="10" borderId="18" xfId="0" applyNumberFormat="1" applyFill="1" applyBorder="1" applyAlignment="1">
      <alignment horizontal="right"/>
    </xf>
    <xf numFmtId="0" fontId="12" fillId="16" borderId="8" xfId="0" applyFont="1" applyFill="1" applyBorder="1" applyAlignment="1">
      <alignment horizontal="left" vertical="center" wrapText="1"/>
    </xf>
    <xf numFmtId="4" fontId="13" fillId="16" borderId="9" xfId="0" applyNumberFormat="1" applyFont="1" applyFill="1" applyBorder="1" applyAlignment="1">
      <alignment horizontal="right" vertical="center" wrapText="1"/>
    </xf>
    <xf numFmtId="10" fontId="13" fillId="16" borderId="9" xfId="0" applyNumberFormat="1" applyFont="1" applyFill="1" applyBorder="1" applyAlignment="1">
      <alignment horizontal="right" vertical="center" wrapText="1"/>
    </xf>
    <xf numFmtId="165" fontId="13" fillId="16" borderId="10" xfId="0" applyNumberFormat="1" applyFont="1" applyFill="1" applyBorder="1" applyAlignment="1">
      <alignment horizontal="right" vertical="center" wrapText="1"/>
    </xf>
    <xf numFmtId="4" fontId="12" fillId="17" borderId="9" xfId="0" applyNumberFormat="1" applyFont="1" applyFill="1" applyBorder="1" applyAlignment="1">
      <alignment horizontal="right" vertical="center"/>
    </xf>
    <xf numFmtId="10" fontId="12" fillId="17" borderId="9" xfId="0" applyNumberFormat="1" applyFont="1" applyFill="1" applyBorder="1" applyAlignment="1">
      <alignment horizontal="right" vertical="center"/>
    </xf>
    <xf numFmtId="165" fontId="12" fillId="17" borderId="10" xfId="0" applyNumberFormat="1" applyFont="1" applyFill="1" applyBorder="1" applyAlignment="1">
      <alignment horizontal="right" vertical="center"/>
    </xf>
    <xf numFmtId="4" fontId="12" fillId="16" borderId="9" xfId="0" applyNumberFormat="1" applyFont="1" applyFill="1" applyBorder="1" applyAlignment="1">
      <alignment horizontal="right" vertical="center"/>
    </xf>
    <xf numFmtId="10" fontId="12" fillId="16" borderId="9" xfId="0" applyNumberFormat="1" applyFont="1" applyFill="1" applyBorder="1" applyAlignment="1">
      <alignment horizontal="right" vertical="center"/>
    </xf>
    <xf numFmtId="165" fontId="12" fillId="16" borderId="10" xfId="0" applyNumberFormat="1" applyFont="1" applyFill="1" applyBorder="1" applyAlignment="1">
      <alignment horizontal="right" vertical="center"/>
    </xf>
    <xf numFmtId="3" fontId="19" fillId="16" borderId="9" xfId="0" applyNumberFormat="1" applyFont="1" applyFill="1" applyBorder="1" applyAlignment="1">
      <alignment horizontal="right" vertical="center"/>
    </xf>
    <xf numFmtId="165" fontId="20" fillId="16" borderId="10" xfId="0" applyNumberFormat="1" applyFont="1" applyFill="1" applyBorder="1" applyAlignment="1">
      <alignment horizontal="right" vertical="center" wrapText="1"/>
    </xf>
    <xf numFmtId="3" fontId="18" fillId="16" borderId="9" xfId="0" applyNumberFormat="1" applyFont="1" applyFill="1" applyBorder="1" applyAlignment="1">
      <alignment horizontal="right" vertical="center" wrapText="1"/>
    </xf>
    <xf numFmtId="3" fontId="21" fillId="17" borderId="9" xfId="0" applyNumberFormat="1" applyFont="1" applyFill="1" applyBorder="1" applyAlignment="1">
      <alignment horizontal="right" vertical="center"/>
    </xf>
    <xf numFmtId="3" fontId="21" fillId="16" borderId="9" xfId="0" applyNumberFormat="1" applyFont="1" applyFill="1" applyBorder="1" applyAlignment="1">
      <alignment horizontal="right" vertical="center"/>
    </xf>
    <xf numFmtId="0" fontId="16" fillId="10" borderId="0" xfId="0" applyFont="1" applyFill="1" applyAlignment="1"/>
    <xf numFmtId="0" fontId="14" fillId="10" borderId="6" xfId="0" applyFont="1" applyFill="1" applyBorder="1" applyAlignment="1"/>
    <xf numFmtId="0" fontId="0" fillId="10" borderId="6" xfId="0" applyFill="1" applyBorder="1" applyAlignment="1"/>
    <xf numFmtId="0" fontId="0" fillId="10" borderId="9" xfId="0" applyFill="1" applyBorder="1" applyAlignment="1"/>
    <xf numFmtId="3" fontId="0" fillId="10" borderId="9" xfId="0" applyNumberFormat="1" applyFill="1" applyBorder="1" applyAlignment="1"/>
    <xf numFmtId="164" fontId="0" fillId="10" borderId="9" xfId="0" applyNumberFormat="1" applyFill="1" applyBorder="1" applyAlignment="1"/>
    <xf numFmtId="0" fontId="17" fillId="10" borderId="9" xfId="0" applyFont="1" applyFill="1" applyBorder="1" applyAlignment="1"/>
    <xf numFmtId="4" fontId="0" fillId="10" borderId="9" xfId="0" applyNumberFormat="1" applyFill="1" applyBorder="1" applyAlignment="1"/>
    <xf numFmtId="10" fontId="0" fillId="10" borderId="9" xfId="0" applyNumberFormat="1" applyFill="1" applyBorder="1" applyAlignment="1"/>
    <xf numFmtId="0" fontId="0" fillId="10" borderId="12" xfId="0" applyFill="1" applyBorder="1" applyAlignment="1"/>
    <xf numFmtId="165" fontId="0" fillId="10" borderId="12" xfId="0" applyNumberFormat="1" applyFill="1" applyBorder="1" applyAlignment="1"/>
    <xf numFmtId="0" fontId="17" fillId="10" borderId="12" xfId="0" applyFont="1" applyFill="1" applyBorder="1" applyAlignment="1"/>
    <xf numFmtId="0" fontId="0" fillId="10" borderId="9" xfId="0" applyFill="1" applyBorder="1" applyAlignment="1">
      <alignment wrapText="1"/>
    </xf>
    <xf numFmtId="0" fontId="14" fillId="10" borderId="9" xfId="0" applyFont="1" applyFill="1" applyBorder="1" applyAlignment="1">
      <alignment horizontal="center" wrapText="1"/>
    </xf>
    <xf numFmtId="0" fontId="14" fillId="10" borderId="9" xfId="0" applyFont="1" applyFill="1" applyBorder="1" applyAlignment="1">
      <alignment horizontal="center"/>
    </xf>
    <xf numFmtId="0" fontId="11" fillId="10" borderId="8" xfId="0" applyFont="1" applyFill="1" applyBorder="1" applyAlignment="1">
      <alignment horizontal="center"/>
    </xf>
    <xf numFmtId="0" fontId="11" fillId="10" borderId="9" xfId="0" applyFont="1" applyFill="1" applyBorder="1" applyAlignment="1">
      <alignment horizontal="right" wrapText="1"/>
    </xf>
    <xf numFmtId="3" fontId="0" fillId="10" borderId="9" xfId="0" applyNumberFormat="1" applyFill="1" applyBorder="1" applyAlignment="1">
      <alignment horizontal="right" wrapText="1"/>
    </xf>
    <xf numFmtId="0" fontId="11" fillId="10" borderId="11" xfId="0" applyFont="1" applyFill="1" applyBorder="1" applyAlignment="1">
      <alignment horizontal="center"/>
    </xf>
    <xf numFmtId="0" fontId="11" fillId="10" borderId="12" xfId="0" applyFont="1" applyFill="1" applyBorder="1" applyAlignment="1">
      <alignment horizontal="right" wrapText="1"/>
    </xf>
    <xf numFmtId="3" fontId="0" fillId="10" borderId="12" xfId="0" applyNumberFormat="1" applyFill="1" applyBorder="1" applyAlignment="1">
      <alignment horizontal="right" wrapText="1"/>
    </xf>
    <xf numFmtId="4" fontId="0" fillId="10" borderId="12" xfId="0" applyNumberFormat="1" applyFill="1" applyBorder="1" applyAlignment="1">
      <alignment horizontal="right"/>
    </xf>
    <xf numFmtId="10" fontId="0" fillId="10" borderId="12" xfId="0" applyNumberFormat="1" applyFill="1" applyBorder="1" applyAlignment="1">
      <alignment horizontal="right"/>
    </xf>
    <xf numFmtId="0" fontId="13" fillId="10" borderId="7" xfId="0" applyFont="1" applyFill="1" applyBorder="1" applyAlignment="1">
      <alignment horizontal="left" vertical="center"/>
    </xf>
    <xf numFmtId="0" fontId="13" fillId="10" borderId="10" xfId="0" applyFont="1" applyFill="1" applyBorder="1" applyAlignment="1">
      <alignment horizontal="left" vertical="center"/>
    </xf>
    <xf numFmtId="0" fontId="13" fillId="10" borderId="13" xfId="0" applyFont="1" applyFill="1" applyBorder="1" applyAlignment="1">
      <alignment horizontal="left" vertical="center"/>
    </xf>
    <xf numFmtId="0" fontId="13" fillId="10" borderId="15" xfId="0" applyFont="1" applyFill="1" applyBorder="1" applyAlignment="1">
      <alignment horizontal="left" vertical="center"/>
    </xf>
    <xf numFmtId="0" fontId="0" fillId="10" borderId="7" xfId="0" applyFill="1" applyBorder="1" applyAlignment="1"/>
    <xf numFmtId="0" fontId="0" fillId="10" borderId="10" xfId="0" applyFill="1" applyBorder="1" applyAlignment="1"/>
    <xf numFmtId="0" fontId="14" fillId="10" borderId="10" xfId="0" applyFont="1" applyFill="1" applyBorder="1" applyAlignment="1">
      <alignment horizontal="center"/>
    </xf>
    <xf numFmtId="165" fontId="0" fillId="10" borderId="13" xfId="0" applyNumberFormat="1" applyFill="1" applyBorder="1" applyAlignment="1">
      <alignment horizontal="right"/>
    </xf>
    <xf numFmtId="0" fontId="14" fillId="18" borderId="19" xfId="0" applyFont="1" applyFill="1" applyBorder="1" applyAlignment="1">
      <alignment horizontal="center"/>
    </xf>
    <xf numFmtId="10" fontId="11" fillId="0" borderId="0" xfId="0" applyNumberFormat="1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1" fillId="10" borderId="16" xfId="0" applyFont="1" applyFill="1" applyBorder="1" applyAlignment="1">
      <alignment horizontal="center"/>
    </xf>
    <xf numFmtId="0" fontId="11" fillId="10" borderId="17" xfId="0" applyFont="1" applyFill="1" applyBorder="1" applyAlignment="1">
      <alignment horizontal="right" wrapText="1"/>
    </xf>
    <xf numFmtId="0" fontId="12" fillId="13" borderId="4" xfId="0" applyFont="1" applyFill="1" applyBorder="1" applyAlignment="1">
      <alignment horizontal="left" vertical="center"/>
    </xf>
    <xf numFmtId="0" fontId="13" fillId="20" borderId="4" xfId="0" applyFont="1" applyFill="1" applyBorder="1" applyAlignment="1">
      <alignment horizontal="left" vertical="center"/>
    </xf>
    <xf numFmtId="0" fontId="12" fillId="20" borderId="4" xfId="0" applyFont="1" applyFill="1" applyBorder="1" applyAlignment="1">
      <alignment horizontal="left" vertical="center"/>
    </xf>
    <xf numFmtId="165" fontId="12" fillId="13" borderId="4" xfId="0" applyNumberFormat="1" applyFont="1" applyFill="1" applyBorder="1" applyAlignment="1">
      <alignment horizontal="left" vertical="center"/>
    </xf>
    <xf numFmtId="0" fontId="23" fillId="15" borderId="0" xfId="0" applyFont="1" applyFill="1"/>
    <xf numFmtId="0" fontId="0" fillId="15" borderId="0" xfId="0" applyFill="1"/>
    <xf numFmtId="0" fontId="14" fillId="15" borderId="0" xfId="0" applyFont="1" applyFill="1"/>
    <xf numFmtId="0" fontId="0" fillId="16" borderId="8" xfId="0" applyFill="1" applyBorder="1"/>
    <xf numFmtId="164" fontId="0" fillId="16" borderId="9" xfId="0" applyNumberFormat="1" applyFill="1" applyBorder="1" applyAlignment="1">
      <alignment horizontal="right"/>
    </xf>
    <xf numFmtId="0" fontId="0" fillId="16" borderId="10" xfId="0" applyFill="1" applyBorder="1" applyAlignment="1">
      <alignment horizontal="center"/>
    </xf>
    <xf numFmtId="0" fontId="0" fillId="17" borderId="8" xfId="0" applyFill="1" applyBorder="1"/>
    <xf numFmtId="164" fontId="0" fillId="17" borderId="9" xfId="0" applyNumberFormat="1" applyFill="1" applyBorder="1" applyAlignment="1">
      <alignment horizontal="right"/>
    </xf>
    <xf numFmtId="0" fontId="0" fillId="17" borderId="10" xfId="0" applyFill="1" applyBorder="1" applyAlignment="1">
      <alignment horizontal="center"/>
    </xf>
    <xf numFmtId="0" fontId="14" fillId="15" borderId="11" xfId="0" applyFont="1" applyFill="1" applyBorder="1"/>
    <xf numFmtId="164" fontId="14" fillId="15" borderId="12" xfId="0" applyNumberFormat="1" applyFont="1" applyFill="1" applyBorder="1" applyAlignment="1">
      <alignment horizontal="right"/>
    </xf>
    <xf numFmtId="0" fontId="0" fillId="15" borderId="13" xfId="0" applyFill="1" applyBorder="1"/>
    <xf numFmtId="0" fontId="0" fillId="10" borderId="0" xfId="0" applyFill="1"/>
    <xf numFmtId="0" fontId="24" fillId="21" borderId="2" xfId="0" applyFont="1" applyFill="1" applyBorder="1" applyAlignment="1">
      <alignment horizontal="center" vertical="center"/>
    </xf>
    <xf numFmtId="0" fontId="25" fillId="22" borderId="2" xfId="0" applyFont="1" applyFill="1" applyBorder="1" applyAlignment="1">
      <alignment horizontal="left" vertical="center"/>
    </xf>
    <xf numFmtId="3" fontId="26" fillId="22" borderId="2" xfId="0" applyNumberFormat="1" applyFont="1" applyFill="1" applyBorder="1" applyAlignment="1">
      <alignment horizontal="center" vertical="center"/>
    </xf>
    <xf numFmtId="164" fontId="26" fillId="22" borderId="2" xfId="0" applyNumberFormat="1" applyFont="1" applyFill="1" applyBorder="1" applyAlignment="1">
      <alignment horizontal="center" vertical="center"/>
    </xf>
    <xf numFmtId="166" fontId="26" fillId="22" borderId="2" xfId="0" applyNumberFormat="1" applyFont="1" applyFill="1" applyBorder="1" applyAlignment="1">
      <alignment horizontal="center" vertical="center"/>
    </xf>
    <xf numFmtId="0" fontId="25" fillId="23" borderId="2" xfId="0" applyFont="1" applyFill="1" applyBorder="1" applyAlignment="1">
      <alignment horizontal="left" vertical="center"/>
    </xf>
    <xf numFmtId="3" fontId="26" fillId="23" borderId="2" xfId="0" applyNumberFormat="1" applyFont="1" applyFill="1" applyBorder="1" applyAlignment="1">
      <alignment horizontal="center" vertical="center"/>
    </xf>
    <xf numFmtId="164" fontId="26" fillId="23" borderId="2" xfId="0" applyNumberFormat="1" applyFont="1" applyFill="1" applyBorder="1" applyAlignment="1">
      <alignment horizontal="center" vertical="center"/>
    </xf>
    <xf numFmtId="166" fontId="26" fillId="23" borderId="2" xfId="0" applyNumberFormat="1" applyFont="1" applyFill="1" applyBorder="1" applyAlignment="1">
      <alignment horizontal="center" vertical="center"/>
    </xf>
    <xf numFmtId="0" fontId="25" fillId="24" borderId="2" xfId="0" applyFont="1" applyFill="1" applyBorder="1" applyAlignment="1">
      <alignment horizontal="left" vertical="center"/>
    </xf>
    <xf numFmtId="3" fontId="26" fillId="24" borderId="2" xfId="0" applyNumberFormat="1" applyFont="1" applyFill="1" applyBorder="1" applyAlignment="1">
      <alignment horizontal="center" vertical="center"/>
    </xf>
    <xf numFmtId="164" fontId="26" fillId="24" borderId="2" xfId="0" applyNumberFormat="1" applyFont="1" applyFill="1" applyBorder="1" applyAlignment="1">
      <alignment horizontal="center" vertical="center"/>
    </xf>
    <xf numFmtId="3" fontId="26" fillId="25" borderId="2" xfId="0" applyNumberFormat="1" applyFont="1" applyFill="1" applyBorder="1" applyAlignment="1">
      <alignment horizontal="center" vertical="center"/>
    </xf>
    <xf numFmtId="0" fontId="25" fillId="26" borderId="2" xfId="0" applyFont="1" applyFill="1" applyBorder="1" applyAlignment="1">
      <alignment horizontal="left" vertical="center"/>
    </xf>
    <xf numFmtId="3" fontId="26" fillId="26" borderId="2" xfId="0" applyNumberFormat="1" applyFont="1" applyFill="1" applyBorder="1" applyAlignment="1">
      <alignment horizontal="center" vertical="center"/>
    </xf>
    <xf numFmtId="164" fontId="26" fillId="26" borderId="2" xfId="0" applyNumberFormat="1" applyFont="1" applyFill="1" applyBorder="1" applyAlignment="1">
      <alignment horizontal="center" vertical="center"/>
    </xf>
    <xf numFmtId="0" fontId="16" fillId="15" borderId="0" xfId="0" applyFont="1" applyFill="1"/>
    <xf numFmtId="0" fontId="24" fillId="18" borderId="5" xfId="0" applyFont="1" applyFill="1" applyBorder="1" applyAlignment="1">
      <alignment horizontal="center" vertical="center"/>
    </xf>
    <xf numFmtId="0" fontId="24" fillId="18" borderId="6" xfId="0" applyFont="1" applyFill="1" applyBorder="1" applyAlignment="1">
      <alignment horizontal="center" vertical="center"/>
    </xf>
    <xf numFmtId="0" fontId="24" fillId="18" borderId="7" xfId="0" applyFont="1" applyFill="1" applyBorder="1" applyAlignment="1">
      <alignment horizontal="center" vertical="center"/>
    </xf>
    <xf numFmtId="0" fontId="25" fillId="16" borderId="8" xfId="0" applyFont="1" applyFill="1" applyBorder="1" applyAlignment="1">
      <alignment horizontal="left" vertical="center"/>
    </xf>
    <xf numFmtId="164" fontId="19" fillId="16" borderId="9" xfId="0" applyNumberFormat="1" applyFont="1" applyFill="1" applyBorder="1" applyAlignment="1">
      <alignment horizontal="right" vertical="center"/>
    </xf>
    <xf numFmtId="3" fontId="26" fillId="16" borderId="9" xfId="0" applyNumberFormat="1" applyFont="1" applyFill="1" applyBorder="1" applyAlignment="1">
      <alignment horizontal="right" vertical="center"/>
    </xf>
    <xf numFmtId="0" fontId="25" fillId="17" borderId="11" xfId="0" applyFont="1" applyFill="1" applyBorder="1" applyAlignment="1">
      <alignment horizontal="left" vertical="center"/>
    </xf>
    <xf numFmtId="3" fontId="19" fillId="17" borderId="12" xfId="0" applyNumberFormat="1" applyFont="1" applyFill="1" applyBorder="1" applyAlignment="1">
      <alignment horizontal="right" vertical="center"/>
    </xf>
    <xf numFmtId="164" fontId="19" fillId="17" borderId="12" xfId="0" applyNumberFormat="1" applyFont="1" applyFill="1" applyBorder="1" applyAlignment="1">
      <alignment horizontal="right" vertical="center"/>
    </xf>
    <xf numFmtId="3" fontId="26" fillId="17" borderId="12" xfId="0" applyNumberFormat="1" applyFont="1" applyFill="1" applyBorder="1" applyAlignment="1">
      <alignment horizontal="right" vertical="center"/>
    </xf>
    <xf numFmtId="3" fontId="27" fillId="16" borderId="10" xfId="0" applyNumberFormat="1" applyFont="1" applyFill="1" applyBorder="1" applyAlignment="1">
      <alignment horizontal="right" vertical="center"/>
    </xf>
    <xf numFmtId="3" fontId="27" fillId="17" borderId="13" xfId="0" applyNumberFormat="1" applyFont="1" applyFill="1" applyBorder="1" applyAlignment="1">
      <alignment horizontal="right" vertical="center"/>
    </xf>
    <xf numFmtId="0" fontId="4" fillId="12" borderId="0" xfId="0" applyFont="1" applyFill="1" applyAlignment="1"/>
    <xf numFmtId="164" fontId="5" fillId="10" borderId="1" xfId="0" applyNumberFormat="1" applyFont="1" applyFill="1" applyBorder="1" applyAlignment="1"/>
    <xf numFmtId="165" fontId="5" fillId="10" borderId="1" xfId="0" applyNumberFormat="1" applyFont="1" applyFill="1" applyBorder="1" applyAlignment="1"/>
    <xf numFmtId="0" fontId="25" fillId="25" borderId="2" xfId="0" applyFont="1" applyFill="1" applyBorder="1" applyAlignment="1">
      <alignment horizontal="left" vertical="center"/>
    </xf>
    <xf numFmtId="164" fontId="26" fillId="25" borderId="2" xfId="0" applyNumberFormat="1" applyFont="1" applyFill="1" applyBorder="1" applyAlignment="1">
      <alignment horizontal="center" vertical="center"/>
    </xf>
    <xf numFmtId="166" fontId="26" fillId="25" borderId="2" xfId="0" applyNumberFormat="1" applyFont="1" applyFill="1" applyBorder="1" applyAlignment="1">
      <alignment horizontal="center" vertical="center"/>
    </xf>
    <xf numFmtId="166" fontId="26" fillId="26" borderId="2" xfId="0" applyNumberFormat="1" applyFont="1" applyFill="1" applyBorder="1" applyAlignment="1">
      <alignment horizontal="center" vertical="center"/>
    </xf>
    <xf numFmtId="166" fontId="26" fillId="24" borderId="2" xfId="0" applyNumberFormat="1" applyFont="1" applyFill="1" applyBorder="1" applyAlignment="1">
      <alignment horizontal="center" vertical="center"/>
    </xf>
    <xf numFmtId="3" fontId="0" fillId="16" borderId="10" xfId="0" applyNumberFormat="1" applyFill="1" applyBorder="1" applyAlignment="1">
      <alignment horizontal="right"/>
    </xf>
    <xf numFmtId="3" fontId="0" fillId="17" borderId="10" xfId="0" applyNumberFormat="1" applyFill="1" applyBorder="1" applyAlignment="1">
      <alignment horizontal="right"/>
    </xf>
    <xf numFmtId="3" fontId="14" fillId="15" borderId="13" xfId="0" applyNumberFormat="1" applyFont="1" applyFill="1" applyBorder="1" applyAlignment="1">
      <alignment horizontal="right"/>
    </xf>
    <xf numFmtId="0" fontId="0" fillId="28" borderId="0" xfId="0" applyFill="1"/>
    <xf numFmtId="0" fontId="28" fillId="0" borderId="0" xfId="0" applyFont="1" applyAlignment="1">
      <alignment vertical="center"/>
    </xf>
    <xf numFmtId="0" fontId="11" fillId="0" borderId="0" xfId="0" applyFont="1"/>
    <xf numFmtId="0" fontId="29" fillId="0" borderId="0" xfId="0" applyFont="1" applyAlignment="1">
      <alignment horizontal="left" vertical="center" indent="1"/>
    </xf>
    <xf numFmtId="0" fontId="30" fillId="0" borderId="0" xfId="0" applyFont="1"/>
    <xf numFmtId="0" fontId="30" fillId="0" borderId="0" xfId="0" applyFont="1" applyAlignment="1">
      <alignment horizontal="left" vertical="center" indent="1"/>
    </xf>
    <xf numFmtId="0" fontId="30" fillId="0" borderId="0" xfId="0" applyFont="1" applyAlignment="1">
      <alignment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31" fillId="17" borderId="0" xfId="0" applyFont="1" applyFill="1" applyAlignment="1">
      <alignment horizontal="center" wrapText="1"/>
    </xf>
    <xf numFmtId="0" fontId="2" fillId="0" borderId="0" xfId="0" applyFont="1" applyBorder="1" applyAlignment="1"/>
    <xf numFmtId="0" fontId="6" fillId="0" borderId="0" xfId="0" applyFont="1" applyBorder="1" applyAlignment="1"/>
    <xf numFmtId="0" fontId="15" fillId="15" borderId="0" xfId="0" applyFont="1" applyFill="1" applyBorder="1" applyAlignment="1"/>
    <xf numFmtId="0" fontId="2" fillId="15" borderId="0" xfId="0" applyFont="1" applyFill="1" applyBorder="1" applyAlignment="1"/>
    <xf numFmtId="0" fontId="0" fillId="27" borderId="22" xfId="0" applyFill="1" applyBorder="1" applyAlignment="1">
      <alignment horizontal="center"/>
    </xf>
    <xf numFmtId="0" fontId="7" fillId="0" borderId="0" xfId="0" applyFont="1" applyBorder="1" applyAlignment="1"/>
    <xf numFmtId="0" fontId="15" fillId="19" borderId="20" xfId="0" applyFont="1" applyFill="1" applyBorder="1" applyAlignment="1">
      <alignment horizontal="center" vertical="center" wrapText="1"/>
    </xf>
    <xf numFmtId="0" fontId="0" fillId="0" borderId="21" xfId="0" applyBorder="1"/>
    <xf numFmtId="0" fontId="22" fillId="6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31" fillId="17" borderId="0" xfId="0" applyFont="1" applyFill="1" applyAlignment="1">
      <alignment horizontal="center"/>
    </xf>
    <xf numFmtId="0" fontId="5" fillId="29" borderId="0" xfId="0" applyFont="1" applyFill="1" applyAlignment="1"/>
    <xf numFmtId="3" fontId="5" fillId="10" borderId="1" xfId="0" applyNumberFormat="1" applyFont="1" applyFill="1" applyBorder="1" applyAlignment="1"/>
    <xf numFmtId="0" fontId="4" fillId="30" borderId="0" xfId="0" applyFont="1" applyFill="1" applyAlignment="1"/>
    <xf numFmtId="0" fontId="2" fillId="17" borderId="0" xfId="0" applyFont="1" applyFill="1"/>
    <xf numFmtId="0" fontId="12" fillId="31" borderId="1" xfId="0" applyFont="1" applyFill="1" applyBorder="1"/>
    <xf numFmtId="3" fontId="21" fillId="31" borderId="1" xfId="0" applyNumberFormat="1" applyFont="1" applyFill="1" applyBorder="1"/>
    <xf numFmtId="164" fontId="21" fillId="31" borderId="1" xfId="0" applyNumberFormat="1" applyFont="1" applyFill="1" applyBorder="1"/>
    <xf numFmtId="165" fontId="21" fillId="31" borderId="1" xfId="0" applyNumberFormat="1" applyFont="1" applyFill="1" applyBorder="1"/>
    <xf numFmtId="0" fontId="12" fillId="17" borderId="1" xfId="0" applyFont="1" applyFill="1" applyBorder="1"/>
    <xf numFmtId="3" fontId="21" fillId="17" borderId="1" xfId="0" applyNumberFormat="1" applyFont="1" applyFill="1" applyBorder="1"/>
    <xf numFmtId="164" fontId="21" fillId="17" borderId="1" xfId="0" applyNumberFormat="1" applyFont="1" applyFill="1" applyBorder="1"/>
    <xf numFmtId="165" fontId="21" fillId="17" borderId="1" xfId="0" applyNumberFormat="1" applyFont="1" applyFill="1" applyBorder="1"/>
    <xf numFmtId="0" fontId="3" fillId="32" borderId="25" xfId="0" applyFont="1" applyFill="1" applyBorder="1" applyAlignment="1">
      <alignment horizontal="center"/>
    </xf>
    <xf numFmtId="0" fontId="0" fillId="0" borderId="24" xfId="0" applyBorder="1"/>
    <xf numFmtId="0" fontId="12" fillId="31" borderId="26" xfId="0" applyFont="1" applyFill="1" applyBorder="1"/>
    <xf numFmtId="3" fontId="21" fillId="31" borderId="26" xfId="0" applyNumberFormat="1" applyFont="1" applyFill="1" applyBorder="1"/>
    <xf numFmtId="164" fontId="21" fillId="31" borderId="26" xfId="0" applyNumberFormat="1" applyFont="1" applyFill="1" applyBorder="1"/>
    <xf numFmtId="165" fontId="21" fillId="31" borderId="26" xfId="0" applyNumberFormat="1" applyFont="1" applyFill="1" applyBorder="1"/>
    <xf numFmtId="0" fontId="0" fillId="0" borderId="23" xfId="0" applyBorder="1"/>
    <xf numFmtId="0" fontId="12" fillId="33" borderId="1" xfId="0" applyFont="1" applyFill="1" applyBorder="1"/>
    <xf numFmtId="0" fontId="6" fillId="17" borderId="24" xfId="0" applyFont="1" applyFill="1" applyBorder="1"/>
    <xf numFmtId="0" fontId="12" fillId="33" borderId="26" xfId="0" applyFont="1" applyFill="1" applyBorder="1"/>
    <xf numFmtId="164" fontId="21" fillId="17" borderId="26" xfId="0" applyNumberFormat="1" applyFont="1" applyFill="1" applyBorder="1"/>
    <xf numFmtId="0" fontId="0" fillId="0" borderId="23" xfId="0" applyBorder="1" applyAlignment="1"/>
    <xf numFmtId="0" fontId="12" fillId="33" borderId="1" xfId="0" applyFont="1" applyFill="1" applyBorder="1" applyAlignment="1"/>
    <xf numFmtId="164" fontId="21" fillId="17" borderId="1" xfId="0" applyNumberFormat="1" applyFont="1" applyFill="1" applyBorder="1" applyAlignment="1"/>
    <xf numFmtId="164" fontId="21" fillId="31" borderId="1" xfId="0" applyNumberFormat="1" applyFont="1" applyFill="1" applyBorder="1" applyAlignment="1"/>
    <xf numFmtId="0" fontId="6" fillId="17" borderId="24" xfId="0" applyFont="1" applyFill="1" applyBorder="1" applyAlignment="1"/>
    <xf numFmtId="0" fontId="0" fillId="0" borderId="24" xfId="0" applyBorder="1" applyAlignment="1"/>
    <xf numFmtId="0" fontId="12" fillId="33" borderId="26" xfId="0" applyFont="1" applyFill="1" applyBorder="1" applyAlignment="1"/>
    <xf numFmtId="164" fontId="21" fillId="17" borderId="26" xfId="0" applyNumberFormat="1" applyFont="1" applyFill="1" applyBorder="1" applyAlignment="1"/>
  </cellXfs>
  <cellStyles count="1">
    <cellStyle name="Normal" xfId="0" builtinId="0"/>
  </cellStyles>
  <dxfs count="15"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375623"/>
      </font>
      <fill>
        <patternFill patternType="solid">
          <fgColor indexed="64"/>
          <bgColor rgb="FFE2EFD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4" formatCode="0.00%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rgb="FFBDD7E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8B5CF6"/>
      <rgbColor rgb="FFC0504D"/>
      <rgbColor rgb="FFFFF2CC"/>
      <rgbColor rgb="FFD6E4F0"/>
      <rgbColor rgb="FF660066"/>
      <rgbColor rgb="FFEC489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E9D9"/>
      <rgbColor rgb="FF99CCFF"/>
      <rgbColor rgb="FFFF99CC"/>
      <rgbColor rgb="FFCC99FF"/>
      <rgbColor rgb="FFF9F9F9"/>
      <rgbColor rgb="FF2E6DB4"/>
      <rgbColor rgb="FF33CCCC"/>
      <rgbColor rgb="FF99CC00"/>
      <rgbColor rgb="FFFFCC00"/>
      <rgbColor rgb="FFFF9900"/>
      <rgbColor rgb="FFE8792B"/>
      <rgbColor rgb="FF4F81BD"/>
      <rgbColor rgb="FF6366F1"/>
      <rgbColor rgb="FF003366"/>
      <rgbColor rgb="FF3EAC6A"/>
      <rgbColor rgb="FF003300"/>
      <rgbColor rgb="FF333300"/>
      <rgbColor rgb="FFEF4444"/>
      <rgbColor rgb="FFD94B43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Engagements by month</a:t>
            </a:r>
          </a:p>
        </c:rich>
      </c:tx>
      <c:layout>
        <c:manualLayout>
          <c:xMode val="edge"/>
          <c:yMode val="edge"/>
          <c:x val="0.232119439615502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'[1]Monthly performance'!$B$11</c:f>
              <c:strCache>
                <c:ptCount val="1"/>
                <c:pt idx="0">
                  <c:v>Total Engagements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'[1]Monthly performance'!$A$12:$A$16</c:f>
              <c:strCache>
                <c:ptCount val="5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</c:strCache>
            </c:strRef>
          </c:cat>
          <c:val>
            <c:numRef>
              <c:f>'[1]Monthly performance'!$B$12:$B$16</c:f>
              <c:numCache>
                <c:formatCode>General</c:formatCode>
                <c:ptCount val="5"/>
                <c:pt idx="0">
                  <c:v>107491</c:v>
                </c:pt>
                <c:pt idx="1">
                  <c:v>209361</c:v>
                </c:pt>
                <c:pt idx="2">
                  <c:v>585696</c:v>
                </c:pt>
                <c:pt idx="3">
                  <c:v>450</c:v>
                </c:pt>
                <c:pt idx="4">
                  <c:v>165582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B-4A08-890C-7939C4C136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2036112"/>
        <c:axId val="442031536"/>
      </c:barChart>
      <c:catAx>
        <c:axId val="44203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031536"/>
        <c:crosses val="autoZero"/>
        <c:auto val="1"/>
        <c:lblAlgn val="ctr"/>
        <c:lblOffset val="100"/>
        <c:noMultiLvlLbl val="0"/>
      </c:catAx>
      <c:valAx>
        <c:axId val="4420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03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Engagement</a:t>
            </a:r>
            <a:r>
              <a:rPr lang="en-US" baseline="0"/>
              <a:t> rate</a:t>
            </a:r>
            <a:r>
              <a:rPr lang="en-US"/>
              <a:t> by</a:t>
            </a:r>
            <a:r>
              <a:rPr lang="en-US" baseline="0"/>
              <a:t>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Summary'!$B$29</c:f>
              <c:strCache>
                <c:ptCount val="1"/>
                <c:pt idx="0">
                  <c:v>Avg Engagement Rate (Eng/Reach)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'Monthly Summary'!$A$30:$A$35</c:f>
              <c:strCache>
                <c:ptCount val="6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Overall Avg</c:v>
                </c:pt>
              </c:strCache>
            </c:strRef>
          </c:cat>
          <c:val>
            <c:numRef>
              <c:f>'Monthly Summary'!$B$30:$B$35</c:f>
              <c:numCache>
                <c:formatCode>0.00%</c:formatCode>
                <c:ptCount val="6"/>
                <c:pt idx="0">
                  <c:v>0.13700000000000001</c:v>
                </c:pt>
                <c:pt idx="1">
                  <c:v>8.8999999999999996E-2</c:v>
                </c:pt>
                <c:pt idx="2">
                  <c:v>0.29499999999999998</c:v>
                </c:pt>
                <c:pt idx="3">
                  <c:v>3.1E-2</c:v>
                </c:pt>
                <c:pt idx="4">
                  <c:v>0.155</c:v>
                </c:pt>
                <c:pt idx="5">
                  <c:v>0.17299999999999999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A7-477F-9D03-B003B16947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4658384"/>
        <c:axId val="594660048"/>
      </c:lineChart>
      <c:catAx>
        <c:axId val="59465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60048"/>
        <c:crosses val="autoZero"/>
        <c:auto val="1"/>
        <c:lblAlgn val="ctr"/>
        <c:lblOffset val="100"/>
        <c:noMultiLvlLbl val="0"/>
      </c:catAx>
      <c:valAx>
        <c:axId val="5946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5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post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'Channel Analysis'!$B$3</c:f>
              <c:strCache>
                <c:ptCount val="1"/>
                <c:pt idx="0">
                  <c:v>Posts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31-4B24-9006-F3FEB14918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31-4B24-9006-F3FEB14918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'Channel Analysis'!$A$4:$A$5</c:f>
              <c:strCache>
                <c:ptCount val="2"/>
                <c:pt idx="0">
                  <c:v>Facebook</c:v>
                </c:pt>
                <c:pt idx="1">
                  <c:v>Instagram</c:v>
                </c:pt>
              </c:strCache>
            </c:strRef>
          </c:cat>
          <c:val>
            <c:numRef>
              <c:f>'Channel Analysis'!$B$4:$B$5</c:f>
              <c:numCache>
                <c:formatCode>#,##0</c:formatCode>
                <c:ptCount val="2"/>
                <c:pt idx="0">
                  <c:v>335</c:v>
                </c:pt>
                <c:pt idx="1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D-490B-BE28-A20ACA5F4E0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Engagements by market</a:t>
            </a:r>
          </a:p>
        </c:rich>
      </c:tx>
      <c:layout>
        <c:manualLayout>
          <c:xMode val="edge"/>
          <c:yMode val="edge"/>
          <c:x val="0.23183690781746205"/>
          <c:y val="5.647058823529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'Pillar Analysis'!$I$13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'Pillar Analysis'!$H$14:$H$24</c:f>
              <c:numCache>
                <c:formatCode>General</c:formatCode>
                <c:ptCount val="11"/>
                <c:pt idx="0" formatCode="0.0%">
                  <c:v>1</c:v>
                </c:pt>
              </c:numCache>
            </c:numRef>
          </c:cat>
          <c:val>
            <c:numRef>
              <c:f>'Pillar Analysis'!$I$14:$I$24</c:f>
              <c:numCache>
                <c:formatCode>#,##0.00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2C27-43E1-889E-ED77F781C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723776"/>
        <c:axId val="1436723360"/>
      </c:barChart>
      <c:catAx>
        <c:axId val="1436723776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723360"/>
        <c:crosses val="autoZero"/>
        <c:auto val="1"/>
        <c:lblAlgn val="ctr"/>
        <c:lblOffset val="100"/>
        <c:noMultiLvlLbl val="0"/>
      </c:catAx>
      <c:valAx>
        <c:axId val="143672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72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'Pillar Analysis'!$B$17</c:f>
              <c:strCache>
                <c:ptCount val="1"/>
                <c:pt idx="0">
                  <c:v>Avg Engagement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'Pillar Analysis'!$A$18:$A$28</c:f>
              <c:strCache>
                <c:ptCount val="11"/>
                <c:pt idx="0">
                  <c:v>Product Education</c:v>
                </c:pt>
                <c:pt idx="1">
                  <c:v>Campaign</c:v>
                </c:pt>
                <c:pt idx="2">
                  <c:v>Giveaway Promotion</c:v>
                </c:pt>
                <c:pt idx="3">
                  <c:v>Agile</c:v>
                </c:pt>
                <c:pt idx="4">
                  <c:v>Product Feature</c:v>
                </c:pt>
                <c:pt idx="5">
                  <c:v>Product</c:v>
                </c:pt>
                <c:pt idx="6">
                  <c:v>Bousai Education</c:v>
                </c:pt>
                <c:pt idx="7">
                  <c:v>Awareness</c:v>
                </c:pt>
                <c:pt idx="8">
                  <c:v>Seasonal</c:v>
                </c:pt>
                <c:pt idx="9">
                  <c:v>Influencer Repost</c:v>
                </c:pt>
                <c:pt idx="10">
                  <c:v>Unknown</c:v>
                </c:pt>
              </c:strCache>
            </c:strRef>
          </c:cat>
          <c:val>
            <c:numRef>
              <c:f>'Pillar Analysis'!$B$18:$B$28</c:f>
              <c:numCache>
                <c:formatCode>0.00%</c:formatCode>
                <c:ptCount val="11"/>
                <c:pt idx="0">
                  <c:v>0.18149999999999999</c:v>
                </c:pt>
                <c:pt idx="1">
                  <c:v>0.154</c:v>
                </c:pt>
                <c:pt idx="2">
                  <c:v>5.0099999999999999E-2</c:v>
                </c:pt>
                <c:pt idx="3">
                  <c:v>0.14610000000000001</c:v>
                </c:pt>
                <c:pt idx="4">
                  <c:v>2.7799999999999998E-2</c:v>
                </c:pt>
                <c:pt idx="5">
                  <c:v>2.7199999999999998E-2</c:v>
                </c:pt>
                <c:pt idx="6">
                  <c:v>0.14710000000000001</c:v>
                </c:pt>
                <c:pt idx="7">
                  <c:v>1.9300000000000001E-2</c:v>
                </c:pt>
                <c:pt idx="8">
                  <c:v>2.23E-2</c:v>
                </c:pt>
                <c:pt idx="9">
                  <c:v>0.22770000000000001</c:v>
                </c:pt>
                <c:pt idx="10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9-48EB-B56D-D6B3393877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4656304"/>
        <c:axId val="594649232"/>
      </c:barChart>
      <c:catAx>
        <c:axId val="59465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49232"/>
        <c:crosses val="autoZero"/>
        <c:auto val="1"/>
        <c:lblAlgn val="ctr"/>
        <c:lblOffset val="100"/>
        <c:noMultiLvlLbl val="0"/>
      </c:catAx>
      <c:valAx>
        <c:axId val="59464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5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Engagements per Post by Format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Avg Eng/Post</c:v>
          </c:tx>
          <c:spPr>
            <a:solidFill>
              <a:srgbClr val="1B2A4A"/>
            </a:solidFill>
            <a:ln>
              <a:noFill/>
            </a:ln>
            <a:effectLst/>
          </c:spPr>
          <c:invertIfNegative val="0"/>
          <c:cat>
            <c:strRef>
              <c:f>'Format Analysis'!$A$4:$A$6</c:f>
              <c:strCache>
                <c:ptCount val="3"/>
                <c:pt idx="0">
                  <c:v>Video</c:v>
                </c:pt>
                <c:pt idx="1">
                  <c:v>Album</c:v>
                </c:pt>
                <c:pt idx="2">
                  <c:v>Photo</c:v>
                </c:pt>
              </c:strCache>
            </c:strRef>
          </c:cat>
          <c:val>
            <c:numRef>
              <c:f>'Format Analysis'!$D$4:$D$6</c:f>
              <c:numCache>
                <c:formatCode>#,##0.0</c:formatCode>
                <c:ptCount val="3"/>
                <c:pt idx="0">
                  <c:v>1690.1727416798733</c:v>
                </c:pt>
                <c:pt idx="1">
                  <c:v>5.0666666666666664</c:v>
                </c:pt>
                <c:pt idx="2">
                  <c:v>1001.5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1-48A6-9544-69F3F8906F7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'Format Analysis'!$A$4:$A$6</c:f>
              <c:strCache>
                <c:ptCount val="3"/>
                <c:pt idx="0">
                  <c:v>Video</c:v>
                </c:pt>
                <c:pt idx="1">
                  <c:v>Album</c:v>
                </c:pt>
                <c:pt idx="2">
                  <c:v>Photo</c:v>
                </c:pt>
              </c:strCache>
            </c:strRef>
          </c:cat>
          <c:extLst>
            <c:ext xmlns:c16="http://schemas.microsoft.com/office/drawing/2014/chart" uri="{C3380CC4-5D6E-409C-BE32-E72D297353CC}">
              <c16:uniqueId val="{00000001-BC91-48A6-9544-69F3F8906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9187567"/>
        <c:axId val="479188815"/>
      </c:barChart>
      <c:catAx>
        <c:axId val="479187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88815"/>
        <c:crosses val="autoZero"/>
        <c:auto val="1"/>
        <c:lblAlgn val="ctr"/>
        <c:lblOffset val="100"/>
        <c:noMultiLvlLbl val="0"/>
      </c:catAx>
      <c:valAx>
        <c:axId val="47918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8756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Engagements/Post by Market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'Market Analysis'!$D$3</c:f>
              <c:strCache>
                <c:ptCount val="1"/>
                <c:pt idx="0">
                  <c:v>Avg Eng/Post</c:v>
                </c:pt>
              </c:strCache>
            </c:strRef>
          </c:tx>
          <c:spPr>
            <a:solidFill>
              <a:srgbClr val="1B2A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Analysis'!$A$4:$A$16</c:f>
              <c:strCache>
                <c:ptCount val="13"/>
                <c:pt idx="0">
                  <c:v>Thailand</c:v>
                </c:pt>
                <c:pt idx="1">
                  <c:v>International</c:v>
                </c:pt>
                <c:pt idx="2">
                  <c:v>Vietnam</c:v>
                </c:pt>
                <c:pt idx="3">
                  <c:v>Taiwan</c:v>
                </c:pt>
                <c:pt idx="4">
                  <c:v>Spain</c:v>
                </c:pt>
                <c:pt idx="5">
                  <c:v>Hongkong</c:v>
                </c:pt>
                <c:pt idx="6">
                  <c:v>Belgium</c:v>
                </c:pt>
                <c:pt idx="7">
                  <c:v>Hungary</c:v>
                </c:pt>
                <c:pt idx="8">
                  <c:v>Greece</c:v>
                </c:pt>
                <c:pt idx="9">
                  <c:v>Česká republika</c:v>
                </c:pt>
                <c:pt idx="10">
                  <c:v>Turkey</c:v>
                </c:pt>
                <c:pt idx="11">
                  <c:v>Middle East</c:v>
                </c:pt>
                <c:pt idx="12">
                  <c:v>Japan</c:v>
                </c:pt>
              </c:strCache>
            </c:strRef>
          </c:cat>
          <c:val>
            <c:numRef>
              <c:f>'Market Analysis'!$D$4:$D$16</c:f>
              <c:numCache>
                <c:formatCode>#,##0.0</c:formatCode>
                <c:ptCount val="13"/>
                <c:pt idx="0">
                  <c:v>8501.2037037037044</c:v>
                </c:pt>
                <c:pt idx="1">
                  <c:v>7597.75</c:v>
                </c:pt>
                <c:pt idx="2">
                  <c:v>5339.5370370370374</c:v>
                </c:pt>
                <c:pt idx="3">
                  <c:v>1941.4655172413793</c:v>
                </c:pt>
                <c:pt idx="4">
                  <c:v>969.9375</c:v>
                </c:pt>
                <c:pt idx="5">
                  <c:v>960.46428571428567</c:v>
                </c:pt>
                <c:pt idx="6">
                  <c:v>265.046875</c:v>
                </c:pt>
                <c:pt idx="7">
                  <c:v>257</c:v>
                </c:pt>
                <c:pt idx="8">
                  <c:v>240.98333333333332</c:v>
                </c:pt>
                <c:pt idx="9">
                  <c:v>174.70689655172413</c:v>
                </c:pt>
                <c:pt idx="10">
                  <c:v>100.89655172413794</c:v>
                </c:pt>
                <c:pt idx="11">
                  <c:v>8.9833333333333325</c:v>
                </c:pt>
                <c:pt idx="12">
                  <c:v>4.0344827586206895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F-4439-98DA-649073165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398358"/>
        <c:axId val="5963078"/>
      </c:barChart>
      <c:catAx>
        <c:axId val="693983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63078"/>
        <c:crosses val="autoZero"/>
        <c:auto val="1"/>
        <c:lblAlgn val="ctr"/>
        <c:lblOffset val="100"/>
        <c:noMultiLvlLbl val="0"/>
      </c:catAx>
      <c:valAx>
        <c:axId val="59630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398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Engagements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'[1]Market performance analysis'!$B$22</c:f>
              <c:strCache>
                <c:ptCount val="1"/>
                <c:pt idx="0">
                  <c:v>Total Engagements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'[1]Market performance analysis'!$A$23:$A$35</c:f>
              <c:strCache>
                <c:ptCount val="13"/>
                <c:pt idx="0">
                  <c:v>Company X Thailand</c:v>
                </c:pt>
                <c:pt idx="1">
                  <c:v>Company X Vietnam</c:v>
                </c:pt>
                <c:pt idx="2">
                  <c:v>Company X International</c:v>
                </c:pt>
                <c:pt idx="3">
                  <c:v>Company X Taiwan</c:v>
                </c:pt>
                <c:pt idx="4">
                  <c:v>Company X Hongkong</c:v>
                </c:pt>
                <c:pt idx="5">
                  <c:v>Company X España</c:v>
                </c:pt>
                <c:pt idx="6">
                  <c:v>Company X Magyarország</c:v>
                </c:pt>
                <c:pt idx="7">
                  <c:v>Company X Greece</c:v>
                </c:pt>
                <c:pt idx="8">
                  <c:v>Company X Belgium</c:v>
                </c:pt>
                <c:pt idx="9">
                  <c:v>Company X Česká republika</c:v>
                </c:pt>
                <c:pt idx="10">
                  <c:v>Company X Turkey</c:v>
                </c:pt>
                <c:pt idx="11">
                  <c:v>Company X Middle East</c:v>
                </c:pt>
                <c:pt idx="12">
                  <c:v>Company X Japan</c:v>
                </c:pt>
              </c:strCache>
            </c:strRef>
          </c:cat>
          <c:val>
            <c:numRef>
              <c:f>'[1]Market performance analysis'!$B$23:$B$35</c:f>
              <c:numCache>
                <c:formatCode>General</c:formatCode>
                <c:ptCount val="13"/>
                <c:pt idx="0">
                  <c:v>459065</c:v>
                </c:pt>
                <c:pt idx="1">
                  <c:v>288335</c:v>
                </c:pt>
                <c:pt idx="2">
                  <c:v>60782</c:v>
                </c:pt>
                <c:pt idx="3">
                  <c:v>112605</c:v>
                </c:pt>
                <c:pt idx="4">
                  <c:v>53786</c:v>
                </c:pt>
                <c:pt idx="5">
                  <c:v>31038</c:v>
                </c:pt>
                <c:pt idx="6">
                  <c:v>14906</c:v>
                </c:pt>
                <c:pt idx="7">
                  <c:v>14459</c:v>
                </c:pt>
                <c:pt idx="8">
                  <c:v>16963</c:v>
                </c:pt>
                <c:pt idx="9">
                  <c:v>10133</c:v>
                </c:pt>
                <c:pt idx="10">
                  <c:v>5852</c:v>
                </c:pt>
                <c:pt idx="11">
                  <c:v>539</c:v>
                </c:pt>
                <c:pt idx="12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6-4F8B-8312-B21F89B112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6033440"/>
        <c:axId val="436039264"/>
      </c:barChart>
      <c:catAx>
        <c:axId val="43603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039264"/>
        <c:crosses val="autoZero"/>
        <c:auto val="1"/>
        <c:lblAlgn val="ctr"/>
        <c:lblOffset val="100"/>
        <c:noMultiLvlLbl val="0"/>
      </c:catAx>
      <c:valAx>
        <c:axId val="43603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03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444500</xdr:colOff>
      <xdr:row>10</xdr:row>
      <xdr:rowOff>25400</xdr:rowOff>
    </xdr:from>
    <xdr:to>
      <xdr:col>9</xdr:col>
      <xdr:colOff>723900</xdr:colOff>
      <xdr:row>21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8B5C59-3CED-413E-A2C1-710F618AC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107949</xdr:colOff>
      <xdr:row>16</xdr:row>
      <xdr:rowOff>158750</xdr:rowOff>
    </xdr:from>
    <xdr:to>
      <xdr:col>3</xdr:col>
      <xdr:colOff>704850</xdr:colOff>
      <xdr:row>27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A275AF-D0E8-4E47-B119-0C756E8F1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628650</xdr:colOff>
      <xdr:row>5</xdr:row>
      <xdr:rowOff>168275</xdr:rowOff>
    </xdr:from>
    <xdr:to>
      <xdr:col>9</xdr:col>
      <xdr:colOff>882650</xdr:colOff>
      <xdr:row>18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BE9640-5117-4E9A-AD86-7F6680B17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993775</xdr:colOff>
      <xdr:row>41</xdr:row>
      <xdr:rowOff>31750</xdr:rowOff>
    </xdr:from>
    <xdr:to>
      <xdr:col>4</xdr:col>
      <xdr:colOff>282575</xdr:colOff>
      <xdr:row>55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EF5180-1A96-4DA4-ADC0-649138711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663575</xdr:colOff>
      <xdr:row>16</xdr:row>
      <xdr:rowOff>19050</xdr:rowOff>
    </xdr:from>
    <xdr:to>
      <xdr:col>6</xdr:col>
      <xdr:colOff>155575</xdr:colOff>
      <xdr:row>26</xdr:row>
      <xdr:rowOff>508000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5B95F5-E695-4FB7-87C1-F14152D21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8D1A35-534C-49EA-AABE-DE1ED96E3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158750</xdr:rowOff>
    </xdr:from>
    <xdr:to>
      <xdr:col>4</xdr:col>
      <xdr:colOff>965200</xdr:colOff>
      <xdr:row>34</xdr:row>
      <xdr:rowOff>6350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76200</xdr:colOff>
      <xdr:row>17</xdr:row>
      <xdr:rowOff>25400</xdr:rowOff>
    </xdr:from>
    <xdr:to>
      <xdr:col>10</xdr:col>
      <xdr:colOff>139700</xdr:colOff>
      <xdr:row>33</xdr:row>
      <xdr:rowOff>184149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D73B8E-E8EA-4533-BE97-D35A7CC73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nalyst%20assignment%20May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rchive%20(13)/Campaign_Analysis_Working_File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__3"/>
      <sheetName val="Over all perforamce"/>
      <sheetName val="Monthly performance"/>
      <sheetName val="Market performance analysis"/>
      <sheetName val="Channel analysis"/>
      <sheetName val="pillar outlier"/>
      <sheetName val="Master pillar analysis"/>
      <sheetName val="conditional formating"/>
      <sheetName val="Insights"/>
      <sheetName val="October outlier"/>
      <sheetName val="CONTENT &amp; ENGAGEMENT ANALYSIS a"/>
      <sheetName val="metric review"/>
      <sheetName val="Key learning and recommendation"/>
      <sheetName val="Sheet1__4 (2)"/>
    </sheetNames>
    <sheetDataSet>
      <sheetData sheetId="0"/>
      <sheetData sheetId="1"/>
      <sheetData sheetId="2">
        <row r="11">
          <cell r="B11" t="str">
            <v>Total Engagements</v>
          </cell>
        </row>
        <row r="12">
          <cell r="A12" t="str">
            <v>July</v>
          </cell>
          <cell r="B12">
            <v>107491</v>
          </cell>
        </row>
        <row r="13">
          <cell r="A13" t="str">
            <v>August</v>
          </cell>
          <cell r="B13">
            <v>209361</v>
          </cell>
        </row>
        <row r="14">
          <cell r="A14" t="str">
            <v>September</v>
          </cell>
          <cell r="B14">
            <v>585696</v>
          </cell>
        </row>
        <row r="15">
          <cell r="A15" t="str">
            <v>October</v>
          </cell>
          <cell r="B15">
            <v>450</v>
          </cell>
        </row>
        <row r="16">
          <cell r="A16" t="str">
            <v>November</v>
          </cell>
          <cell r="B16">
            <v>165582</v>
          </cell>
        </row>
      </sheetData>
      <sheetData sheetId="3">
        <row r="22">
          <cell r="B22" t="str">
            <v>Total Engagements</v>
          </cell>
        </row>
        <row r="23">
          <cell r="A23" t="str">
            <v>Company X Thailand</v>
          </cell>
          <cell r="B23">
            <v>459065</v>
          </cell>
        </row>
        <row r="24">
          <cell r="A24" t="str">
            <v>Company X Vietnam</v>
          </cell>
          <cell r="B24">
            <v>288335</v>
          </cell>
        </row>
        <row r="25">
          <cell r="A25" t="str">
            <v>Company X International</v>
          </cell>
          <cell r="B25">
            <v>60782</v>
          </cell>
        </row>
        <row r="26">
          <cell r="A26" t="str">
            <v>Company X Taiwan</v>
          </cell>
          <cell r="B26">
            <v>112605</v>
          </cell>
        </row>
        <row r="27">
          <cell r="A27" t="str">
            <v>Company X Hongkong</v>
          </cell>
          <cell r="B27">
            <v>53786</v>
          </cell>
        </row>
        <row r="28">
          <cell r="A28" t="str">
            <v>Company X España</v>
          </cell>
          <cell r="B28">
            <v>31038</v>
          </cell>
        </row>
        <row r="29">
          <cell r="A29" t="str">
            <v>Company X Magyarország</v>
          </cell>
          <cell r="B29">
            <v>14906</v>
          </cell>
        </row>
        <row r="30">
          <cell r="A30" t="str">
            <v>Company X Greece</v>
          </cell>
          <cell r="B30">
            <v>14459</v>
          </cell>
        </row>
        <row r="31">
          <cell r="A31" t="str">
            <v>Company X Belgium</v>
          </cell>
          <cell r="B31">
            <v>16963</v>
          </cell>
        </row>
        <row r="32">
          <cell r="A32" t="str">
            <v>Company X Česká republika</v>
          </cell>
          <cell r="B32">
            <v>10133</v>
          </cell>
        </row>
        <row r="33">
          <cell r="A33" t="str">
            <v>Company X Turkey</v>
          </cell>
          <cell r="B33">
            <v>5852</v>
          </cell>
        </row>
        <row r="34">
          <cell r="A34" t="str">
            <v>Company X Middle East</v>
          </cell>
          <cell r="B34">
            <v>539</v>
          </cell>
        </row>
        <row r="35">
          <cell r="A35" t="str">
            <v>Company X Japan</v>
          </cell>
          <cell r="B35">
            <v>117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 Raw Data"/>
      <sheetName val="2. Monthly Summary"/>
      <sheetName val="3. Channel Analysis"/>
      <sheetName val="4. Content Pillar Analysis"/>
      <sheetName val="5. Market Analysis"/>
      <sheetName val="6. Key Insights"/>
      <sheetName val="7. Statistical Analysis"/>
      <sheetName val="8. Top Posts &amp; Lookups"/>
      <sheetName val="9. Advanced Analytics"/>
      <sheetName val="10. Conditional Formatting"/>
      <sheetName val="11. Formula Reference Guide"/>
    </sheetNames>
    <sheetDataSet>
      <sheetData sheetId="0">
        <row r="1">
          <cell r="J1" t="str">
            <v>Engagements</v>
          </cell>
          <cell r="M1" t="str">
            <v>Impressions</v>
          </cell>
          <cell r="N1" t="str">
            <v>Reach</v>
          </cell>
          <cell r="O1" t="str">
            <v>Engagement Rates</v>
          </cell>
        </row>
        <row r="2">
          <cell r="A2" t="str">
            <v>July</v>
          </cell>
          <cell r="J2">
            <v>2</v>
          </cell>
          <cell r="M2">
            <v>4</v>
          </cell>
          <cell r="N2">
            <v>4</v>
          </cell>
          <cell r="O2">
            <v>0.5</v>
          </cell>
        </row>
        <row r="3">
          <cell r="A3" t="str">
            <v>July</v>
          </cell>
          <cell r="J3">
            <v>1</v>
          </cell>
          <cell r="M3">
            <v>165</v>
          </cell>
          <cell r="N3">
            <v>164</v>
          </cell>
          <cell r="O3">
            <v>6.0975609756097598E-3</v>
          </cell>
        </row>
        <row r="4">
          <cell r="A4" t="str">
            <v>July</v>
          </cell>
          <cell r="J4">
            <v>1</v>
          </cell>
          <cell r="M4">
            <v>187</v>
          </cell>
          <cell r="N4">
            <v>186</v>
          </cell>
          <cell r="O4">
            <v>5.3763440860215101E-3</v>
          </cell>
        </row>
        <row r="5">
          <cell r="A5" t="str">
            <v>July</v>
          </cell>
          <cell r="J5">
            <v>2</v>
          </cell>
          <cell r="M5">
            <v>66</v>
          </cell>
          <cell r="N5">
            <v>66</v>
          </cell>
          <cell r="O5">
            <v>3.03030303030303E-2</v>
          </cell>
        </row>
        <row r="6">
          <cell r="A6" t="str">
            <v>July</v>
          </cell>
          <cell r="J6">
            <v>0</v>
          </cell>
          <cell r="M6">
            <v>28</v>
          </cell>
          <cell r="N6">
            <v>28</v>
          </cell>
          <cell r="O6">
            <v>0</v>
          </cell>
        </row>
        <row r="7">
          <cell r="A7" t="str">
            <v>July</v>
          </cell>
          <cell r="J7">
            <v>3</v>
          </cell>
          <cell r="M7">
            <v>26</v>
          </cell>
          <cell r="N7">
            <v>26</v>
          </cell>
          <cell r="O7">
            <v>0.115384615384615</v>
          </cell>
        </row>
        <row r="8">
          <cell r="A8" t="str">
            <v>July</v>
          </cell>
          <cell r="J8">
            <v>2</v>
          </cell>
          <cell r="M8">
            <v>18</v>
          </cell>
          <cell r="N8">
            <v>17</v>
          </cell>
          <cell r="O8">
            <v>0.11764705882352899</v>
          </cell>
        </row>
        <row r="9">
          <cell r="A9" t="str">
            <v>July</v>
          </cell>
          <cell r="J9">
            <v>0</v>
          </cell>
          <cell r="M9">
            <v>10</v>
          </cell>
          <cell r="N9">
            <v>10</v>
          </cell>
          <cell r="O9">
            <v>0</v>
          </cell>
        </row>
        <row r="10">
          <cell r="A10" t="str">
            <v>July</v>
          </cell>
          <cell r="J10">
            <v>0</v>
          </cell>
          <cell r="M10">
            <v>69</v>
          </cell>
          <cell r="N10">
            <v>69</v>
          </cell>
          <cell r="O10">
            <v>0</v>
          </cell>
        </row>
        <row r="11">
          <cell r="A11" t="str">
            <v>July</v>
          </cell>
          <cell r="J11">
            <v>4</v>
          </cell>
          <cell r="M11">
            <v>29</v>
          </cell>
          <cell r="N11">
            <v>29</v>
          </cell>
          <cell r="O11">
            <v>0.13793103448275901</v>
          </cell>
        </row>
        <row r="12">
          <cell r="A12" t="str">
            <v>July</v>
          </cell>
          <cell r="J12">
            <v>4</v>
          </cell>
          <cell r="M12">
            <v>833</v>
          </cell>
          <cell r="N12">
            <v>788</v>
          </cell>
          <cell r="O12">
            <v>5.0761421319797002E-3</v>
          </cell>
        </row>
        <row r="13">
          <cell r="A13" t="str">
            <v>July</v>
          </cell>
          <cell r="J13">
            <v>1</v>
          </cell>
          <cell r="M13">
            <v>630</v>
          </cell>
          <cell r="N13">
            <v>630</v>
          </cell>
          <cell r="O13">
            <v>1.5873015873015899E-3</v>
          </cell>
        </row>
        <row r="14">
          <cell r="A14" t="str">
            <v>July</v>
          </cell>
          <cell r="J14">
            <v>0</v>
          </cell>
          <cell r="M14">
            <v>186</v>
          </cell>
          <cell r="N14">
            <v>184</v>
          </cell>
          <cell r="O14">
            <v>0</v>
          </cell>
        </row>
        <row r="15">
          <cell r="A15" t="str">
            <v>July</v>
          </cell>
          <cell r="J15">
            <v>0</v>
          </cell>
          <cell r="M15">
            <v>103</v>
          </cell>
          <cell r="N15">
            <v>101</v>
          </cell>
          <cell r="O15">
            <v>0</v>
          </cell>
        </row>
        <row r="16">
          <cell r="A16" t="str">
            <v>July</v>
          </cell>
          <cell r="J16">
            <v>4</v>
          </cell>
          <cell r="M16">
            <v>54</v>
          </cell>
          <cell r="N16">
            <v>52</v>
          </cell>
          <cell r="O16">
            <v>7.69230769230769E-2</v>
          </cell>
        </row>
        <row r="17">
          <cell r="A17" t="str">
            <v>July</v>
          </cell>
          <cell r="J17">
            <v>7</v>
          </cell>
          <cell r="M17">
            <v>33</v>
          </cell>
          <cell r="N17">
            <v>31</v>
          </cell>
          <cell r="O17">
            <v>0.225806451612903</v>
          </cell>
        </row>
        <row r="18">
          <cell r="A18" t="str">
            <v>July</v>
          </cell>
          <cell r="J18">
            <v>0</v>
          </cell>
          <cell r="M18">
            <v>32</v>
          </cell>
          <cell r="N18">
            <v>29</v>
          </cell>
          <cell r="O18">
            <v>0</v>
          </cell>
        </row>
        <row r="19">
          <cell r="A19" t="str">
            <v>July</v>
          </cell>
          <cell r="J19">
            <v>0</v>
          </cell>
          <cell r="M19">
            <v>9</v>
          </cell>
          <cell r="N19">
            <v>8</v>
          </cell>
          <cell r="O19">
            <v>0</v>
          </cell>
        </row>
        <row r="20">
          <cell r="A20" t="str">
            <v>July</v>
          </cell>
          <cell r="J20">
            <v>2</v>
          </cell>
          <cell r="M20">
            <v>224</v>
          </cell>
          <cell r="N20">
            <v>221</v>
          </cell>
          <cell r="O20">
            <v>9.0497737556561094E-3</v>
          </cell>
        </row>
        <row r="21">
          <cell r="A21" t="str">
            <v>July</v>
          </cell>
          <cell r="J21">
            <v>0</v>
          </cell>
          <cell r="M21">
            <v>103</v>
          </cell>
          <cell r="N21">
            <v>103</v>
          </cell>
          <cell r="O21">
            <v>0</v>
          </cell>
        </row>
        <row r="22">
          <cell r="A22" t="str">
            <v>July</v>
          </cell>
          <cell r="J22">
            <v>4</v>
          </cell>
          <cell r="M22">
            <v>32</v>
          </cell>
          <cell r="N22">
            <v>32</v>
          </cell>
          <cell r="O22">
            <v>0.125</v>
          </cell>
        </row>
        <row r="23">
          <cell r="A23" t="str">
            <v>July</v>
          </cell>
          <cell r="J23">
            <v>7</v>
          </cell>
          <cell r="M23">
            <v>929</v>
          </cell>
          <cell r="N23">
            <v>866</v>
          </cell>
          <cell r="O23">
            <v>8.0831408775981495E-3</v>
          </cell>
        </row>
        <row r="24">
          <cell r="A24" t="str">
            <v>July</v>
          </cell>
          <cell r="J24">
            <v>9</v>
          </cell>
          <cell r="M24">
            <v>949</v>
          </cell>
          <cell r="N24">
            <v>934</v>
          </cell>
          <cell r="O24">
            <v>9.6359743040685206E-3</v>
          </cell>
        </row>
        <row r="25">
          <cell r="A25" t="str">
            <v>July</v>
          </cell>
          <cell r="J25">
            <v>2</v>
          </cell>
          <cell r="M25">
            <v>22</v>
          </cell>
          <cell r="N25">
            <v>21</v>
          </cell>
          <cell r="O25">
            <v>9.5238095238095205E-2</v>
          </cell>
        </row>
        <row r="26">
          <cell r="A26" t="str">
            <v>July</v>
          </cell>
          <cell r="J26">
            <v>0</v>
          </cell>
          <cell r="M26">
            <v>204</v>
          </cell>
          <cell r="N26">
            <v>201</v>
          </cell>
          <cell r="O26">
            <v>0</v>
          </cell>
        </row>
        <row r="27">
          <cell r="A27" t="str">
            <v>July</v>
          </cell>
          <cell r="J27">
            <v>5</v>
          </cell>
          <cell r="M27">
            <v>27</v>
          </cell>
          <cell r="N27">
            <v>24</v>
          </cell>
          <cell r="O27">
            <v>0.20833333333333301</v>
          </cell>
        </row>
        <row r="28">
          <cell r="A28" t="str">
            <v>July</v>
          </cell>
          <cell r="J28">
            <v>1</v>
          </cell>
          <cell r="M28">
            <v>26</v>
          </cell>
          <cell r="N28">
            <v>25</v>
          </cell>
          <cell r="O28">
            <v>0.04</v>
          </cell>
        </row>
        <row r="29">
          <cell r="A29" t="str">
            <v>July</v>
          </cell>
          <cell r="J29">
            <v>0</v>
          </cell>
          <cell r="M29">
            <v>81</v>
          </cell>
          <cell r="N29">
            <v>80</v>
          </cell>
          <cell r="O29">
            <v>0</v>
          </cell>
        </row>
        <row r="30">
          <cell r="A30" t="str">
            <v>July</v>
          </cell>
          <cell r="J30">
            <v>2</v>
          </cell>
          <cell r="M30">
            <v>307</v>
          </cell>
          <cell r="N30">
            <v>302</v>
          </cell>
          <cell r="O30">
            <v>6.6225165562913899E-3</v>
          </cell>
        </row>
        <row r="31">
          <cell r="A31" t="str">
            <v>July</v>
          </cell>
          <cell r="J31">
            <v>3</v>
          </cell>
          <cell r="M31">
            <v>740</v>
          </cell>
          <cell r="N31">
            <v>740</v>
          </cell>
          <cell r="O31">
            <v>4.0540540540540499E-3</v>
          </cell>
        </row>
        <row r="32">
          <cell r="A32" t="str">
            <v>July</v>
          </cell>
          <cell r="J32">
            <v>0</v>
          </cell>
          <cell r="M32">
            <v>77</v>
          </cell>
          <cell r="N32">
            <v>77</v>
          </cell>
          <cell r="O32">
            <v>0</v>
          </cell>
        </row>
        <row r="33">
          <cell r="A33" t="str">
            <v>July</v>
          </cell>
          <cell r="J33">
            <v>11</v>
          </cell>
          <cell r="M33">
            <v>946</v>
          </cell>
          <cell r="N33">
            <v>900</v>
          </cell>
          <cell r="O33">
            <v>1.22222222222222E-2</v>
          </cell>
        </row>
        <row r="34">
          <cell r="A34" t="str">
            <v>July</v>
          </cell>
          <cell r="J34">
            <v>1</v>
          </cell>
          <cell r="M34">
            <v>33</v>
          </cell>
          <cell r="N34">
            <v>33</v>
          </cell>
          <cell r="O34">
            <v>3.03030303030303E-2</v>
          </cell>
        </row>
        <row r="35">
          <cell r="A35" t="str">
            <v>July</v>
          </cell>
          <cell r="J35">
            <v>0</v>
          </cell>
          <cell r="M35">
            <v>31</v>
          </cell>
          <cell r="N35">
            <v>28</v>
          </cell>
          <cell r="O35">
            <v>0</v>
          </cell>
        </row>
        <row r="36">
          <cell r="A36" t="str">
            <v>July</v>
          </cell>
          <cell r="J36">
            <v>3</v>
          </cell>
          <cell r="M36">
            <v>31</v>
          </cell>
          <cell r="N36">
            <v>27</v>
          </cell>
          <cell r="O36">
            <v>0.11111111111111099</v>
          </cell>
        </row>
        <row r="37">
          <cell r="A37" t="str">
            <v>July</v>
          </cell>
          <cell r="J37">
            <v>2</v>
          </cell>
          <cell r="M37">
            <v>619</v>
          </cell>
          <cell r="N37">
            <v>573</v>
          </cell>
          <cell r="O37">
            <v>3.4904013961605598E-3</v>
          </cell>
        </row>
        <row r="38">
          <cell r="A38" t="str">
            <v>July</v>
          </cell>
          <cell r="J38">
            <v>4</v>
          </cell>
          <cell r="M38">
            <v>1259</v>
          </cell>
          <cell r="N38">
            <v>1147</v>
          </cell>
          <cell r="O38">
            <v>3.4873583260680002E-3</v>
          </cell>
        </row>
        <row r="39">
          <cell r="A39" t="str">
            <v>July</v>
          </cell>
          <cell r="J39">
            <v>3</v>
          </cell>
          <cell r="M39">
            <v>26</v>
          </cell>
          <cell r="N39">
            <v>24</v>
          </cell>
          <cell r="O39">
            <v>0.125</v>
          </cell>
        </row>
        <row r="40">
          <cell r="A40" t="str">
            <v>July</v>
          </cell>
          <cell r="J40">
            <v>2</v>
          </cell>
          <cell r="M40">
            <v>218</v>
          </cell>
          <cell r="N40">
            <v>216</v>
          </cell>
          <cell r="O40">
            <v>9.2592592592592605E-3</v>
          </cell>
        </row>
        <row r="41">
          <cell r="A41" t="str">
            <v>July</v>
          </cell>
          <cell r="J41">
            <v>0</v>
          </cell>
          <cell r="M41">
            <v>85</v>
          </cell>
          <cell r="N41">
            <v>83</v>
          </cell>
          <cell r="O41">
            <v>0</v>
          </cell>
        </row>
        <row r="42">
          <cell r="A42" t="str">
            <v>July</v>
          </cell>
          <cell r="J42">
            <v>0</v>
          </cell>
          <cell r="M42">
            <v>33</v>
          </cell>
          <cell r="N42">
            <v>32</v>
          </cell>
          <cell r="O42">
            <v>0</v>
          </cell>
        </row>
        <row r="43">
          <cell r="A43" t="str">
            <v>July</v>
          </cell>
          <cell r="J43">
            <v>3</v>
          </cell>
          <cell r="M43">
            <v>30</v>
          </cell>
          <cell r="N43">
            <v>29</v>
          </cell>
          <cell r="O43">
            <v>0.10344827586206901</v>
          </cell>
        </row>
        <row r="44">
          <cell r="A44" t="str">
            <v>July</v>
          </cell>
          <cell r="J44">
            <v>0</v>
          </cell>
          <cell r="M44">
            <v>19</v>
          </cell>
          <cell r="N44">
            <v>18</v>
          </cell>
          <cell r="O44">
            <v>0</v>
          </cell>
        </row>
        <row r="45">
          <cell r="A45" t="str">
            <v>July</v>
          </cell>
          <cell r="J45">
            <v>8</v>
          </cell>
          <cell r="M45">
            <v>202</v>
          </cell>
          <cell r="N45">
            <v>198</v>
          </cell>
          <cell r="O45">
            <v>4.0404040404040401E-2</v>
          </cell>
        </row>
        <row r="46">
          <cell r="A46" t="str">
            <v>July</v>
          </cell>
          <cell r="J46">
            <v>0</v>
          </cell>
          <cell r="M46">
            <v>114</v>
          </cell>
          <cell r="N46">
            <v>113</v>
          </cell>
          <cell r="O46">
            <v>0</v>
          </cell>
        </row>
        <row r="47">
          <cell r="A47" t="str">
            <v>July</v>
          </cell>
          <cell r="J47">
            <v>2</v>
          </cell>
          <cell r="M47">
            <v>31</v>
          </cell>
          <cell r="N47">
            <v>29</v>
          </cell>
          <cell r="O47">
            <v>6.8965517241379296E-2</v>
          </cell>
        </row>
        <row r="48">
          <cell r="A48" t="str">
            <v>July</v>
          </cell>
          <cell r="J48">
            <v>6</v>
          </cell>
          <cell r="M48">
            <v>786</v>
          </cell>
          <cell r="N48">
            <v>734</v>
          </cell>
          <cell r="O48">
            <v>8.1743869209809292E-3</v>
          </cell>
        </row>
        <row r="49">
          <cell r="A49" t="str">
            <v>July</v>
          </cell>
          <cell r="J49">
            <v>6</v>
          </cell>
          <cell r="M49">
            <v>766</v>
          </cell>
          <cell r="N49">
            <v>749</v>
          </cell>
          <cell r="O49">
            <v>8.0106809078771702E-3</v>
          </cell>
        </row>
        <row r="50">
          <cell r="A50" t="str">
            <v>July</v>
          </cell>
          <cell r="J50">
            <v>15</v>
          </cell>
          <cell r="M50">
            <v>256</v>
          </cell>
          <cell r="N50">
            <v>248</v>
          </cell>
          <cell r="O50">
            <v>6.0483870967741903E-2</v>
          </cell>
        </row>
        <row r="51">
          <cell r="A51" t="str">
            <v>July</v>
          </cell>
          <cell r="J51">
            <v>0</v>
          </cell>
          <cell r="M51">
            <v>208</v>
          </cell>
          <cell r="N51">
            <v>205</v>
          </cell>
          <cell r="O51">
            <v>0</v>
          </cell>
        </row>
        <row r="52">
          <cell r="A52" t="str">
            <v>July</v>
          </cell>
          <cell r="J52">
            <v>1</v>
          </cell>
          <cell r="M52">
            <v>107</v>
          </cell>
          <cell r="N52">
            <v>106</v>
          </cell>
          <cell r="O52">
            <v>9.4339622641509396E-3</v>
          </cell>
        </row>
        <row r="53">
          <cell r="A53" t="str">
            <v>July</v>
          </cell>
          <cell r="J53">
            <v>56549</v>
          </cell>
          <cell r="M53">
            <v>284752</v>
          </cell>
          <cell r="N53">
            <v>272185</v>
          </cell>
          <cell r="O53">
            <v>0.207759428329996</v>
          </cell>
        </row>
        <row r="54">
          <cell r="A54" t="str">
            <v>July</v>
          </cell>
          <cell r="J54">
            <v>6</v>
          </cell>
          <cell r="M54">
            <v>33</v>
          </cell>
          <cell r="N54">
            <v>27</v>
          </cell>
          <cell r="O54">
            <v>0.22222222222222199</v>
          </cell>
        </row>
        <row r="55">
          <cell r="A55" t="str">
            <v>July</v>
          </cell>
          <cell r="J55">
            <v>38454</v>
          </cell>
          <cell r="M55">
            <v>216279</v>
          </cell>
          <cell r="N55">
            <v>212898</v>
          </cell>
          <cell r="O55">
            <v>0.18062170616915099</v>
          </cell>
        </row>
        <row r="56">
          <cell r="A56" t="str">
            <v>July</v>
          </cell>
          <cell r="J56">
            <v>10208</v>
          </cell>
          <cell r="M56">
            <v>153777</v>
          </cell>
          <cell r="N56">
            <v>153777</v>
          </cell>
          <cell r="O56">
            <v>6.63818386364671E-2</v>
          </cell>
        </row>
        <row r="57">
          <cell r="A57" t="str">
            <v>July</v>
          </cell>
          <cell r="J57">
            <v>14</v>
          </cell>
          <cell r="M57">
            <v>251</v>
          </cell>
          <cell r="N57">
            <v>242</v>
          </cell>
          <cell r="O57">
            <v>5.7851239669421503E-2</v>
          </cell>
        </row>
        <row r="58">
          <cell r="A58" t="str">
            <v>July</v>
          </cell>
          <cell r="J58">
            <v>0</v>
          </cell>
          <cell r="M58">
            <v>93</v>
          </cell>
          <cell r="N58">
            <v>93</v>
          </cell>
          <cell r="O58">
            <v>0</v>
          </cell>
        </row>
        <row r="59">
          <cell r="A59" t="str">
            <v>July</v>
          </cell>
          <cell r="J59">
            <v>1833</v>
          </cell>
          <cell r="M59">
            <v>123850</v>
          </cell>
          <cell r="N59">
            <v>123850</v>
          </cell>
          <cell r="O59">
            <v>1.4800161485668199E-2</v>
          </cell>
        </row>
        <row r="60">
          <cell r="A60" t="str">
            <v>July</v>
          </cell>
          <cell r="J60">
            <v>6</v>
          </cell>
          <cell r="M60">
            <v>834</v>
          </cell>
          <cell r="N60">
            <v>798</v>
          </cell>
          <cell r="O60">
            <v>7.5187969924812E-3</v>
          </cell>
        </row>
        <row r="61">
          <cell r="A61" t="str">
            <v>July</v>
          </cell>
          <cell r="J61">
            <v>11</v>
          </cell>
          <cell r="M61">
            <v>952</v>
          </cell>
          <cell r="N61">
            <v>934</v>
          </cell>
          <cell r="O61">
            <v>1.1777301927194899E-2</v>
          </cell>
        </row>
        <row r="62">
          <cell r="A62" t="str">
            <v>July</v>
          </cell>
          <cell r="J62">
            <v>2</v>
          </cell>
          <cell r="M62">
            <v>9</v>
          </cell>
          <cell r="N62">
            <v>8</v>
          </cell>
          <cell r="O62">
            <v>0.25</v>
          </cell>
        </row>
        <row r="63">
          <cell r="A63" t="str">
            <v>July</v>
          </cell>
          <cell r="J63">
            <v>8</v>
          </cell>
          <cell r="M63">
            <v>30</v>
          </cell>
          <cell r="N63">
            <v>23</v>
          </cell>
          <cell r="O63">
            <v>0.34782608695652201</v>
          </cell>
        </row>
        <row r="64">
          <cell r="A64" t="str">
            <v>July</v>
          </cell>
          <cell r="J64">
            <v>5</v>
          </cell>
          <cell r="M64">
            <v>236</v>
          </cell>
          <cell r="N64">
            <v>232</v>
          </cell>
          <cell r="O64">
            <v>2.1551724137931001E-2</v>
          </cell>
        </row>
        <row r="65">
          <cell r="A65" t="str">
            <v>July</v>
          </cell>
          <cell r="J65">
            <v>5</v>
          </cell>
          <cell r="M65">
            <v>60</v>
          </cell>
          <cell r="N65">
            <v>51</v>
          </cell>
          <cell r="O65">
            <v>9.8039215686274495E-2</v>
          </cell>
        </row>
        <row r="66">
          <cell r="A66" t="str">
            <v>July</v>
          </cell>
          <cell r="J66">
            <v>3</v>
          </cell>
          <cell r="M66">
            <v>229</v>
          </cell>
          <cell r="N66">
            <v>222</v>
          </cell>
          <cell r="O66">
            <v>1.35135135135135E-2</v>
          </cell>
        </row>
        <row r="67">
          <cell r="A67" t="str">
            <v>July</v>
          </cell>
          <cell r="J67">
            <v>0</v>
          </cell>
          <cell r="M67">
            <v>122</v>
          </cell>
          <cell r="N67">
            <v>120</v>
          </cell>
          <cell r="O67">
            <v>0</v>
          </cell>
        </row>
        <row r="68">
          <cell r="A68" t="str">
            <v>July</v>
          </cell>
          <cell r="J68">
            <v>0</v>
          </cell>
          <cell r="M68">
            <v>35</v>
          </cell>
          <cell r="N68">
            <v>35</v>
          </cell>
          <cell r="O68">
            <v>0</v>
          </cell>
        </row>
        <row r="69">
          <cell r="A69" t="str">
            <v>July</v>
          </cell>
          <cell r="J69">
            <v>10</v>
          </cell>
          <cell r="M69">
            <v>40</v>
          </cell>
          <cell r="N69">
            <v>33</v>
          </cell>
          <cell r="O69">
            <v>0.30303030303030298</v>
          </cell>
        </row>
        <row r="70">
          <cell r="A70" t="str">
            <v>July</v>
          </cell>
          <cell r="J70">
            <v>0</v>
          </cell>
          <cell r="M70">
            <v>101</v>
          </cell>
          <cell r="N70">
            <v>97</v>
          </cell>
          <cell r="O70">
            <v>0</v>
          </cell>
        </row>
        <row r="71">
          <cell r="A71" t="str">
            <v>July</v>
          </cell>
          <cell r="J71">
            <v>1</v>
          </cell>
          <cell r="M71">
            <v>86</v>
          </cell>
          <cell r="N71">
            <v>79</v>
          </cell>
          <cell r="O71">
            <v>1.26582278481013E-2</v>
          </cell>
        </row>
        <row r="72">
          <cell r="A72" t="str">
            <v>July</v>
          </cell>
          <cell r="J72">
            <v>3</v>
          </cell>
          <cell r="M72">
            <v>249</v>
          </cell>
          <cell r="N72">
            <v>246</v>
          </cell>
          <cell r="O72">
            <v>1.21951219512195E-2</v>
          </cell>
        </row>
        <row r="73">
          <cell r="A73" t="str">
            <v>July</v>
          </cell>
          <cell r="J73">
            <v>1</v>
          </cell>
          <cell r="M73">
            <v>108</v>
          </cell>
          <cell r="N73">
            <v>108</v>
          </cell>
          <cell r="O73">
            <v>9.2592592592592605E-3</v>
          </cell>
        </row>
        <row r="74">
          <cell r="A74" t="str">
            <v>July</v>
          </cell>
          <cell r="J74">
            <v>2</v>
          </cell>
          <cell r="M74">
            <v>38</v>
          </cell>
          <cell r="N74">
            <v>33</v>
          </cell>
          <cell r="O74">
            <v>6.0606060606060601E-2</v>
          </cell>
        </row>
        <row r="75">
          <cell r="A75" t="str">
            <v>July</v>
          </cell>
          <cell r="J75">
            <v>5</v>
          </cell>
          <cell r="M75">
            <v>739</v>
          </cell>
          <cell r="N75">
            <v>695</v>
          </cell>
          <cell r="O75">
            <v>7.1942446043165497E-3</v>
          </cell>
        </row>
        <row r="76">
          <cell r="A76" t="str">
            <v>July</v>
          </cell>
          <cell r="J76">
            <v>12</v>
          </cell>
          <cell r="M76">
            <v>1115</v>
          </cell>
          <cell r="N76">
            <v>1088</v>
          </cell>
          <cell r="O76">
            <v>1.10294117647059E-2</v>
          </cell>
        </row>
        <row r="77">
          <cell r="A77" t="str">
            <v>July</v>
          </cell>
          <cell r="J77">
            <v>7</v>
          </cell>
          <cell r="M77">
            <v>3008</v>
          </cell>
          <cell r="N77">
            <v>2196</v>
          </cell>
          <cell r="O77">
            <v>3.1876138433515498E-3</v>
          </cell>
        </row>
        <row r="78">
          <cell r="A78" t="str">
            <v>July</v>
          </cell>
          <cell r="J78">
            <v>6</v>
          </cell>
          <cell r="M78">
            <v>79</v>
          </cell>
          <cell r="N78">
            <v>73</v>
          </cell>
          <cell r="O78">
            <v>8.2191780821917804E-2</v>
          </cell>
        </row>
        <row r="79">
          <cell r="A79" t="str">
            <v>July</v>
          </cell>
          <cell r="J79">
            <v>2</v>
          </cell>
          <cell r="M79">
            <v>18</v>
          </cell>
          <cell r="N79">
            <v>16</v>
          </cell>
          <cell r="O79">
            <v>0.125</v>
          </cell>
        </row>
        <row r="80">
          <cell r="A80" t="str">
            <v>July</v>
          </cell>
          <cell r="J80">
            <v>0</v>
          </cell>
          <cell r="M80">
            <v>15</v>
          </cell>
          <cell r="N80">
            <v>13</v>
          </cell>
          <cell r="O80">
            <v>0</v>
          </cell>
        </row>
        <row r="81">
          <cell r="A81" t="str">
            <v>July</v>
          </cell>
          <cell r="J81">
            <v>7</v>
          </cell>
          <cell r="M81">
            <v>51</v>
          </cell>
          <cell r="N81">
            <v>47</v>
          </cell>
          <cell r="O81">
            <v>0.14893617021276601</v>
          </cell>
        </row>
        <row r="82">
          <cell r="A82" t="str">
            <v>July</v>
          </cell>
          <cell r="J82">
            <v>0</v>
          </cell>
          <cell r="M82">
            <v>4</v>
          </cell>
          <cell r="N82">
            <v>4</v>
          </cell>
          <cell r="O82">
            <v>0</v>
          </cell>
        </row>
        <row r="83">
          <cell r="A83" t="str">
            <v>July</v>
          </cell>
          <cell r="J83">
            <v>1</v>
          </cell>
          <cell r="M83">
            <v>15</v>
          </cell>
          <cell r="N83">
            <v>15</v>
          </cell>
          <cell r="O83">
            <v>6.6666666666666693E-2</v>
          </cell>
        </row>
        <row r="84">
          <cell r="A84" t="str">
            <v>July</v>
          </cell>
          <cell r="J84">
            <v>2</v>
          </cell>
          <cell r="M84">
            <v>13</v>
          </cell>
          <cell r="N84">
            <v>11</v>
          </cell>
          <cell r="O84">
            <v>0.18181818181818199</v>
          </cell>
        </row>
        <row r="85">
          <cell r="A85" t="str">
            <v>July</v>
          </cell>
          <cell r="J85">
            <v>1</v>
          </cell>
          <cell r="M85">
            <v>13</v>
          </cell>
          <cell r="N85">
            <v>12</v>
          </cell>
          <cell r="O85">
            <v>8.3333333333333301E-2</v>
          </cell>
        </row>
        <row r="86">
          <cell r="A86" t="str">
            <v>July</v>
          </cell>
          <cell r="J86">
            <v>0</v>
          </cell>
          <cell r="M86">
            <v>14</v>
          </cell>
          <cell r="N86">
            <v>12</v>
          </cell>
          <cell r="O86">
            <v>0</v>
          </cell>
        </row>
        <row r="87">
          <cell r="A87" t="str">
            <v>July</v>
          </cell>
          <cell r="J87">
            <v>4</v>
          </cell>
          <cell r="M87">
            <v>34</v>
          </cell>
          <cell r="N87">
            <v>33</v>
          </cell>
          <cell r="O87">
            <v>0.12121212121212099</v>
          </cell>
        </row>
        <row r="88">
          <cell r="A88" t="str">
            <v>July</v>
          </cell>
          <cell r="J88">
            <v>4</v>
          </cell>
          <cell r="M88">
            <v>15</v>
          </cell>
          <cell r="N88">
            <v>15</v>
          </cell>
          <cell r="O88">
            <v>0.266666666666667</v>
          </cell>
        </row>
        <row r="89">
          <cell r="A89" t="str">
            <v>July</v>
          </cell>
          <cell r="J89">
            <v>1</v>
          </cell>
          <cell r="M89">
            <v>7</v>
          </cell>
          <cell r="N89">
            <v>7</v>
          </cell>
          <cell r="O89">
            <v>0.14285714285714299</v>
          </cell>
        </row>
        <row r="90">
          <cell r="A90" t="str">
            <v>July</v>
          </cell>
          <cell r="J90">
            <v>0</v>
          </cell>
          <cell r="M90">
            <v>9</v>
          </cell>
          <cell r="N90">
            <v>9</v>
          </cell>
          <cell r="O90">
            <v>0</v>
          </cell>
        </row>
        <row r="91">
          <cell r="A91" t="str">
            <v>July</v>
          </cell>
          <cell r="J91">
            <v>8</v>
          </cell>
          <cell r="M91">
            <v>60</v>
          </cell>
          <cell r="N91">
            <v>57</v>
          </cell>
          <cell r="O91">
            <v>0.140350877192982</v>
          </cell>
        </row>
        <row r="92">
          <cell r="A92" t="str">
            <v>July</v>
          </cell>
          <cell r="J92">
            <v>0</v>
          </cell>
          <cell r="M92">
            <v>3</v>
          </cell>
          <cell r="N92">
            <v>3</v>
          </cell>
          <cell r="O92">
            <v>0</v>
          </cell>
        </row>
        <row r="93">
          <cell r="A93" t="str">
            <v>July</v>
          </cell>
          <cell r="J93">
            <v>0</v>
          </cell>
          <cell r="M93">
            <v>19</v>
          </cell>
          <cell r="N93">
            <v>18</v>
          </cell>
          <cell r="O93">
            <v>0</v>
          </cell>
        </row>
        <row r="94">
          <cell r="A94" t="str">
            <v>July</v>
          </cell>
          <cell r="J94">
            <v>4</v>
          </cell>
          <cell r="M94">
            <v>77</v>
          </cell>
          <cell r="N94">
            <v>74</v>
          </cell>
          <cell r="O94">
            <v>5.4054054054054099E-2</v>
          </cell>
        </row>
        <row r="95">
          <cell r="A95" t="str">
            <v>July</v>
          </cell>
          <cell r="J95">
            <v>2</v>
          </cell>
          <cell r="M95">
            <v>7</v>
          </cell>
          <cell r="N95">
            <v>7</v>
          </cell>
          <cell r="O95">
            <v>0.28571428571428598</v>
          </cell>
        </row>
        <row r="96">
          <cell r="A96" t="str">
            <v>July</v>
          </cell>
          <cell r="J96">
            <v>1</v>
          </cell>
          <cell r="M96">
            <v>11</v>
          </cell>
          <cell r="N96">
            <v>10</v>
          </cell>
          <cell r="O96">
            <v>0.1</v>
          </cell>
        </row>
        <row r="97">
          <cell r="A97" t="str">
            <v>July</v>
          </cell>
          <cell r="J97">
            <v>0</v>
          </cell>
          <cell r="M97">
            <v>12</v>
          </cell>
          <cell r="N97">
            <v>10</v>
          </cell>
          <cell r="O97">
            <v>0</v>
          </cell>
        </row>
        <row r="98">
          <cell r="A98" t="str">
            <v>July</v>
          </cell>
          <cell r="J98">
            <v>5</v>
          </cell>
          <cell r="M98">
            <v>45</v>
          </cell>
          <cell r="N98">
            <v>44</v>
          </cell>
          <cell r="O98">
            <v>0.11363636363636399</v>
          </cell>
        </row>
        <row r="99">
          <cell r="A99" t="str">
            <v>July</v>
          </cell>
          <cell r="J99">
            <v>0</v>
          </cell>
          <cell r="M99">
            <v>13</v>
          </cell>
          <cell r="N99">
            <v>12</v>
          </cell>
          <cell r="O99">
            <v>0</v>
          </cell>
        </row>
        <row r="100">
          <cell r="A100" t="str">
            <v>July</v>
          </cell>
          <cell r="J100">
            <v>15</v>
          </cell>
          <cell r="M100">
            <v>78</v>
          </cell>
          <cell r="N100">
            <v>70</v>
          </cell>
          <cell r="O100">
            <v>0.214285714285714</v>
          </cell>
        </row>
        <row r="101">
          <cell r="A101" t="str">
            <v>July</v>
          </cell>
          <cell r="J101">
            <v>1</v>
          </cell>
          <cell r="M101">
            <v>9</v>
          </cell>
          <cell r="N101">
            <v>9</v>
          </cell>
          <cell r="O101">
            <v>0.11111111111111099</v>
          </cell>
        </row>
        <row r="102">
          <cell r="A102" t="str">
            <v>July</v>
          </cell>
          <cell r="J102">
            <v>1</v>
          </cell>
          <cell r="M102">
            <v>13</v>
          </cell>
          <cell r="N102">
            <v>11</v>
          </cell>
          <cell r="O102">
            <v>9.0909090909090898E-2</v>
          </cell>
        </row>
        <row r="103">
          <cell r="A103" t="str">
            <v>July</v>
          </cell>
          <cell r="J103">
            <v>11</v>
          </cell>
          <cell r="M103">
            <v>126</v>
          </cell>
          <cell r="N103">
            <v>116</v>
          </cell>
          <cell r="O103">
            <v>9.4827586206896602E-2</v>
          </cell>
        </row>
        <row r="104">
          <cell r="A104" t="str">
            <v>July</v>
          </cell>
          <cell r="J104">
            <v>1</v>
          </cell>
          <cell r="M104">
            <v>5</v>
          </cell>
          <cell r="N104">
            <v>5</v>
          </cell>
          <cell r="O104">
            <v>0.2</v>
          </cell>
        </row>
        <row r="105">
          <cell r="A105" t="str">
            <v>July</v>
          </cell>
          <cell r="J105">
            <v>1</v>
          </cell>
          <cell r="M105">
            <v>8</v>
          </cell>
          <cell r="N105">
            <v>8</v>
          </cell>
          <cell r="O105">
            <v>0.125</v>
          </cell>
        </row>
        <row r="106">
          <cell r="A106" t="str">
            <v>July</v>
          </cell>
          <cell r="J106">
            <v>6</v>
          </cell>
          <cell r="M106">
            <v>37</v>
          </cell>
          <cell r="N106">
            <v>34</v>
          </cell>
          <cell r="O106">
            <v>0.17647058823529399</v>
          </cell>
        </row>
        <row r="107">
          <cell r="A107" t="str">
            <v>July</v>
          </cell>
          <cell r="J107">
            <v>0</v>
          </cell>
          <cell r="M107">
            <v>9</v>
          </cell>
          <cell r="N107">
            <v>9</v>
          </cell>
          <cell r="O107">
            <v>0</v>
          </cell>
        </row>
        <row r="108">
          <cell r="A108" t="str">
            <v>July</v>
          </cell>
          <cell r="J108">
            <v>1</v>
          </cell>
          <cell r="M108">
            <v>5</v>
          </cell>
          <cell r="N108">
            <v>5</v>
          </cell>
          <cell r="O108">
            <v>0.2</v>
          </cell>
        </row>
        <row r="109">
          <cell r="A109" t="str">
            <v>July</v>
          </cell>
          <cell r="J109">
            <v>3</v>
          </cell>
          <cell r="M109">
            <v>24</v>
          </cell>
          <cell r="N109">
            <v>24</v>
          </cell>
          <cell r="O109">
            <v>0.125</v>
          </cell>
        </row>
        <row r="110">
          <cell r="A110" t="str">
            <v>July</v>
          </cell>
          <cell r="J110">
            <v>0</v>
          </cell>
          <cell r="M110">
            <v>11</v>
          </cell>
          <cell r="N110">
            <v>7</v>
          </cell>
          <cell r="O110">
            <v>0</v>
          </cell>
        </row>
        <row r="111">
          <cell r="A111" t="str">
            <v>July</v>
          </cell>
          <cell r="J111">
            <v>7</v>
          </cell>
          <cell r="M111">
            <v>56</v>
          </cell>
          <cell r="N111">
            <v>49</v>
          </cell>
          <cell r="O111">
            <v>0.14285714285714299</v>
          </cell>
        </row>
        <row r="112">
          <cell r="A112" t="str">
            <v>July</v>
          </cell>
          <cell r="J112">
            <v>1</v>
          </cell>
          <cell r="M112">
            <v>5</v>
          </cell>
          <cell r="N112">
            <v>5</v>
          </cell>
          <cell r="O112">
            <v>0.2</v>
          </cell>
        </row>
        <row r="113">
          <cell r="A113" t="str">
            <v>July</v>
          </cell>
          <cell r="J113">
            <v>1</v>
          </cell>
          <cell r="M113">
            <v>10</v>
          </cell>
          <cell r="N113">
            <v>10</v>
          </cell>
          <cell r="O113">
            <v>0.1</v>
          </cell>
        </row>
        <row r="114">
          <cell r="A114" t="str">
            <v>July</v>
          </cell>
          <cell r="J114">
            <v>0</v>
          </cell>
          <cell r="M114">
            <v>4</v>
          </cell>
          <cell r="N114">
            <v>4</v>
          </cell>
          <cell r="O114">
            <v>0</v>
          </cell>
        </row>
        <row r="115">
          <cell r="A115" t="str">
            <v>July</v>
          </cell>
          <cell r="J115">
            <v>1</v>
          </cell>
          <cell r="M115">
            <v>9</v>
          </cell>
          <cell r="N115">
            <v>9</v>
          </cell>
          <cell r="O115">
            <v>0.11111111111111099</v>
          </cell>
        </row>
        <row r="116">
          <cell r="A116" t="str">
            <v>July</v>
          </cell>
          <cell r="J116">
            <v>11</v>
          </cell>
          <cell r="M116">
            <v>159</v>
          </cell>
          <cell r="N116">
            <v>150</v>
          </cell>
          <cell r="O116">
            <v>7.3333333333333306E-2</v>
          </cell>
        </row>
        <row r="117">
          <cell r="A117" t="str">
            <v>July</v>
          </cell>
          <cell r="J117">
            <v>1</v>
          </cell>
          <cell r="M117">
            <v>9</v>
          </cell>
          <cell r="N117">
            <v>9</v>
          </cell>
          <cell r="O117">
            <v>0.11111111111111099</v>
          </cell>
        </row>
        <row r="118">
          <cell r="A118" t="str">
            <v>July</v>
          </cell>
          <cell r="J118">
            <v>2</v>
          </cell>
          <cell r="M118">
            <v>11</v>
          </cell>
          <cell r="N118">
            <v>11</v>
          </cell>
          <cell r="O118">
            <v>0.18181818181818199</v>
          </cell>
        </row>
        <row r="119">
          <cell r="A119" t="str">
            <v>July</v>
          </cell>
          <cell r="J119">
            <v>1</v>
          </cell>
          <cell r="M119">
            <v>14</v>
          </cell>
          <cell r="N119">
            <v>13</v>
          </cell>
          <cell r="O119">
            <v>7.69230769230769E-2</v>
          </cell>
        </row>
        <row r="120">
          <cell r="A120" t="str">
            <v>July</v>
          </cell>
          <cell r="J120">
            <v>1</v>
          </cell>
          <cell r="M120">
            <v>20</v>
          </cell>
          <cell r="N120">
            <v>20</v>
          </cell>
          <cell r="O120">
            <v>0.05</v>
          </cell>
        </row>
        <row r="121">
          <cell r="A121" t="str">
            <v>July</v>
          </cell>
          <cell r="J121">
            <v>16</v>
          </cell>
          <cell r="M121">
            <v>306</v>
          </cell>
          <cell r="N121">
            <v>284</v>
          </cell>
          <cell r="O121">
            <v>5.63380281690141E-2</v>
          </cell>
        </row>
        <row r="122">
          <cell r="A122" t="str">
            <v>July</v>
          </cell>
          <cell r="J122">
            <v>2</v>
          </cell>
          <cell r="M122">
            <v>12</v>
          </cell>
          <cell r="N122">
            <v>10</v>
          </cell>
          <cell r="O122">
            <v>0.2</v>
          </cell>
        </row>
        <row r="123">
          <cell r="A123" t="str">
            <v>July</v>
          </cell>
          <cell r="J123">
            <v>0</v>
          </cell>
          <cell r="M123">
            <v>13</v>
          </cell>
          <cell r="N123">
            <v>11</v>
          </cell>
          <cell r="O123">
            <v>0</v>
          </cell>
        </row>
        <row r="124">
          <cell r="A124" t="str">
            <v>July</v>
          </cell>
          <cell r="J124">
            <v>12</v>
          </cell>
          <cell r="M124">
            <v>73</v>
          </cell>
          <cell r="N124">
            <v>65</v>
          </cell>
          <cell r="O124">
            <v>0.18461538461538499</v>
          </cell>
        </row>
        <row r="125">
          <cell r="A125" t="str">
            <v>July</v>
          </cell>
          <cell r="J125">
            <v>1</v>
          </cell>
          <cell r="M125">
            <v>6</v>
          </cell>
          <cell r="N125">
            <v>5</v>
          </cell>
          <cell r="O125">
            <v>0.2</v>
          </cell>
        </row>
        <row r="126">
          <cell r="A126" t="str">
            <v>July</v>
          </cell>
          <cell r="J126">
            <v>0</v>
          </cell>
          <cell r="M126">
            <v>22</v>
          </cell>
          <cell r="N126">
            <v>19</v>
          </cell>
          <cell r="O126">
            <v>0</v>
          </cell>
        </row>
        <row r="127">
          <cell r="A127" t="str">
            <v>July</v>
          </cell>
          <cell r="J127">
            <v>3</v>
          </cell>
          <cell r="M127">
            <v>120</v>
          </cell>
          <cell r="N127">
            <v>105</v>
          </cell>
          <cell r="O127">
            <v>2.8571428571428598E-2</v>
          </cell>
        </row>
        <row r="128">
          <cell r="A128" t="str">
            <v>July</v>
          </cell>
          <cell r="J128">
            <v>1</v>
          </cell>
          <cell r="M128">
            <v>10</v>
          </cell>
          <cell r="N128">
            <v>9</v>
          </cell>
          <cell r="O128">
            <v>0.11111111111111099</v>
          </cell>
        </row>
        <row r="129">
          <cell r="A129" t="str">
            <v>July</v>
          </cell>
          <cell r="J129">
            <v>2</v>
          </cell>
          <cell r="M129">
            <v>9</v>
          </cell>
          <cell r="N129">
            <v>9</v>
          </cell>
          <cell r="O129">
            <v>0.22222222222222199</v>
          </cell>
        </row>
        <row r="130">
          <cell r="A130" t="str">
            <v>July</v>
          </cell>
          <cell r="J130">
            <v>1</v>
          </cell>
          <cell r="M130">
            <v>10</v>
          </cell>
          <cell r="N130">
            <v>10</v>
          </cell>
          <cell r="O130">
            <v>0.1</v>
          </cell>
        </row>
        <row r="131">
          <cell r="A131" t="str">
            <v>July</v>
          </cell>
          <cell r="J131">
            <v>1</v>
          </cell>
          <cell r="M131">
            <v>32</v>
          </cell>
          <cell r="N131">
            <v>32</v>
          </cell>
          <cell r="O131">
            <v>3.125E-2</v>
          </cell>
        </row>
        <row r="132">
          <cell r="A132" t="str">
            <v>July</v>
          </cell>
          <cell r="J132">
            <v>6</v>
          </cell>
          <cell r="M132">
            <v>71</v>
          </cell>
          <cell r="N132">
            <v>60</v>
          </cell>
          <cell r="O132">
            <v>0.1</v>
          </cell>
        </row>
        <row r="133">
          <cell r="A133" t="str">
            <v>July</v>
          </cell>
          <cell r="J133">
            <v>10</v>
          </cell>
          <cell r="M133">
            <v>187</v>
          </cell>
          <cell r="N133">
            <v>180</v>
          </cell>
          <cell r="O133">
            <v>5.5555555555555601E-2</v>
          </cell>
        </row>
        <row r="134">
          <cell r="A134" t="str">
            <v>July</v>
          </cell>
          <cell r="J134">
            <v>3</v>
          </cell>
          <cell r="M134">
            <v>25</v>
          </cell>
          <cell r="N134">
            <v>25</v>
          </cell>
          <cell r="O134">
            <v>0.12</v>
          </cell>
        </row>
        <row r="135">
          <cell r="A135" t="str">
            <v>July</v>
          </cell>
          <cell r="J135">
            <v>1</v>
          </cell>
          <cell r="M135">
            <v>15</v>
          </cell>
          <cell r="N135">
            <v>15</v>
          </cell>
          <cell r="O135">
            <v>6.6666666666666693E-2</v>
          </cell>
        </row>
        <row r="136">
          <cell r="A136" t="str">
            <v>July</v>
          </cell>
          <cell r="J136">
            <v>0</v>
          </cell>
          <cell r="M136">
            <v>12</v>
          </cell>
          <cell r="N136">
            <v>12</v>
          </cell>
          <cell r="O136">
            <v>0</v>
          </cell>
        </row>
        <row r="137">
          <cell r="A137" t="str">
            <v>July</v>
          </cell>
          <cell r="J137">
            <v>12</v>
          </cell>
          <cell r="M137">
            <v>69</v>
          </cell>
          <cell r="N137">
            <v>63</v>
          </cell>
          <cell r="O137">
            <v>0.19047619047619099</v>
          </cell>
        </row>
        <row r="138">
          <cell r="A138" t="str">
            <v>July</v>
          </cell>
          <cell r="J138">
            <v>0</v>
          </cell>
          <cell r="M138">
            <v>4</v>
          </cell>
          <cell r="N138">
            <v>4</v>
          </cell>
          <cell r="O138">
            <v>0</v>
          </cell>
        </row>
        <row r="139">
          <cell r="A139" t="str">
            <v>July</v>
          </cell>
          <cell r="J139">
            <v>1</v>
          </cell>
          <cell r="M139">
            <v>17</v>
          </cell>
          <cell r="N139">
            <v>17</v>
          </cell>
          <cell r="O139">
            <v>5.8823529411764698E-2</v>
          </cell>
        </row>
        <row r="140">
          <cell r="A140" t="str">
            <v>July</v>
          </cell>
          <cell r="J140">
            <v>7</v>
          </cell>
          <cell r="M140">
            <v>146</v>
          </cell>
          <cell r="N140">
            <v>135</v>
          </cell>
          <cell r="O140">
            <v>5.1851851851851899E-2</v>
          </cell>
        </row>
        <row r="141">
          <cell r="A141" t="str">
            <v>July</v>
          </cell>
          <cell r="J141">
            <v>1</v>
          </cell>
          <cell r="M141">
            <v>13</v>
          </cell>
          <cell r="N141">
            <v>13</v>
          </cell>
          <cell r="O141">
            <v>7.69230769230769E-2</v>
          </cell>
        </row>
        <row r="142">
          <cell r="A142" t="str">
            <v>July</v>
          </cell>
          <cell r="J142">
            <v>1</v>
          </cell>
          <cell r="M142">
            <v>12</v>
          </cell>
          <cell r="N142">
            <v>12</v>
          </cell>
          <cell r="O142">
            <v>8.3333333333333301E-2</v>
          </cell>
        </row>
        <row r="143">
          <cell r="A143" t="str">
            <v>July</v>
          </cell>
          <cell r="J143">
            <v>1</v>
          </cell>
          <cell r="M143">
            <v>17</v>
          </cell>
          <cell r="N143">
            <v>15</v>
          </cell>
          <cell r="O143">
            <v>6.6666666666666693E-2</v>
          </cell>
        </row>
        <row r="144">
          <cell r="A144" t="str">
            <v>July</v>
          </cell>
          <cell r="J144">
            <v>5</v>
          </cell>
          <cell r="M144">
            <v>28</v>
          </cell>
          <cell r="N144">
            <v>28</v>
          </cell>
          <cell r="O144">
            <v>0.17857142857142899</v>
          </cell>
        </row>
        <row r="145">
          <cell r="A145" t="str">
            <v>July</v>
          </cell>
          <cell r="J145">
            <v>5</v>
          </cell>
          <cell r="M145">
            <v>35</v>
          </cell>
          <cell r="N145">
            <v>34</v>
          </cell>
          <cell r="O145">
            <v>0.14705882352941199</v>
          </cell>
        </row>
        <row r="146">
          <cell r="A146" t="str">
            <v>July</v>
          </cell>
          <cell r="J146">
            <v>7</v>
          </cell>
          <cell r="M146">
            <v>48</v>
          </cell>
          <cell r="N146">
            <v>41</v>
          </cell>
          <cell r="O146">
            <v>0.17073170731707299</v>
          </cell>
        </row>
        <row r="147">
          <cell r="A147" t="str">
            <v>August</v>
          </cell>
          <cell r="J147">
            <v>4</v>
          </cell>
          <cell r="M147">
            <v>47</v>
          </cell>
          <cell r="N147">
            <v>38</v>
          </cell>
          <cell r="O147">
            <v>0.105263157894737</v>
          </cell>
        </row>
        <row r="148">
          <cell r="A148" t="str">
            <v>August</v>
          </cell>
          <cell r="J148">
            <v>2</v>
          </cell>
          <cell r="M148">
            <v>119</v>
          </cell>
          <cell r="N148">
            <v>118</v>
          </cell>
          <cell r="O148">
            <v>1.6949152542372899E-2</v>
          </cell>
        </row>
        <row r="149">
          <cell r="A149" t="str">
            <v>August</v>
          </cell>
          <cell r="J149">
            <v>8</v>
          </cell>
          <cell r="M149">
            <v>261</v>
          </cell>
          <cell r="N149">
            <v>255</v>
          </cell>
          <cell r="O149">
            <v>3.1372549019607801E-2</v>
          </cell>
        </row>
        <row r="150">
          <cell r="A150" t="str">
            <v>August</v>
          </cell>
          <cell r="J150">
            <v>55537</v>
          </cell>
          <cell r="M150">
            <v>533898</v>
          </cell>
          <cell r="N150">
            <v>526835</v>
          </cell>
          <cell r="O150">
            <v>0.105416306813329</v>
          </cell>
        </row>
        <row r="151">
          <cell r="A151" t="str">
            <v>August</v>
          </cell>
          <cell r="J151">
            <v>11</v>
          </cell>
          <cell r="M151">
            <v>1066</v>
          </cell>
          <cell r="N151">
            <v>1058</v>
          </cell>
          <cell r="O151">
            <v>1.0396975425330799E-2</v>
          </cell>
        </row>
        <row r="152">
          <cell r="A152" t="str">
            <v>August</v>
          </cell>
          <cell r="J152">
            <v>5367</v>
          </cell>
          <cell r="M152">
            <v>690710</v>
          </cell>
          <cell r="N152">
            <v>677694</v>
          </cell>
          <cell r="O152">
            <v>7.9195034927268104E-3</v>
          </cell>
        </row>
        <row r="153">
          <cell r="A153" t="str">
            <v>August</v>
          </cell>
          <cell r="J153">
            <v>0</v>
          </cell>
          <cell r="M153">
            <v>96</v>
          </cell>
          <cell r="N153">
            <v>94</v>
          </cell>
          <cell r="O153">
            <v>0</v>
          </cell>
        </row>
        <row r="154">
          <cell r="A154" t="str">
            <v>August</v>
          </cell>
          <cell r="J154">
            <v>5</v>
          </cell>
          <cell r="M154">
            <v>688</v>
          </cell>
          <cell r="N154">
            <v>634</v>
          </cell>
          <cell r="O154">
            <v>7.88643533123028E-3</v>
          </cell>
        </row>
        <row r="155">
          <cell r="A155" t="str">
            <v>August</v>
          </cell>
          <cell r="J155">
            <v>23984</v>
          </cell>
          <cell r="M155">
            <v>264871</v>
          </cell>
          <cell r="N155">
            <v>264871</v>
          </cell>
          <cell r="O155">
            <v>9.0549739307058896E-2</v>
          </cell>
        </row>
        <row r="156">
          <cell r="A156" t="str">
            <v>August</v>
          </cell>
          <cell r="J156">
            <v>109838</v>
          </cell>
          <cell r="M156">
            <v>555266</v>
          </cell>
          <cell r="N156">
            <v>555266</v>
          </cell>
          <cell r="O156">
            <v>0.19781149935346301</v>
          </cell>
        </row>
        <row r="157">
          <cell r="A157" t="str">
            <v>August</v>
          </cell>
          <cell r="J157">
            <v>6100</v>
          </cell>
          <cell r="M157">
            <v>141434</v>
          </cell>
          <cell r="N157">
            <v>141434</v>
          </cell>
          <cell r="O157">
            <v>4.3129657649504403E-2</v>
          </cell>
        </row>
        <row r="158">
          <cell r="A158" t="str">
            <v>August</v>
          </cell>
          <cell r="J158">
            <v>0</v>
          </cell>
          <cell r="M158">
            <v>213</v>
          </cell>
          <cell r="N158">
            <v>206</v>
          </cell>
          <cell r="O158">
            <v>0</v>
          </cell>
        </row>
        <row r="159">
          <cell r="A159" t="str">
            <v>August</v>
          </cell>
          <cell r="J159">
            <v>8</v>
          </cell>
          <cell r="M159">
            <v>61</v>
          </cell>
          <cell r="N159">
            <v>53</v>
          </cell>
          <cell r="O159">
            <v>0.15094339622641501</v>
          </cell>
        </row>
        <row r="160">
          <cell r="A160" t="str">
            <v>August</v>
          </cell>
          <cell r="J160">
            <v>3</v>
          </cell>
          <cell r="M160">
            <v>63</v>
          </cell>
          <cell r="N160">
            <v>60</v>
          </cell>
          <cell r="O160">
            <v>0.05</v>
          </cell>
        </row>
        <row r="161">
          <cell r="A161" t="str">
            <v>August</v>
          </cell>
          <cell r="J161">
            <v>7</v>
          </cell>
          <cell r="M161">
            <v>396</v>
          </cell>
          <cell r="N161">
            <v>392</v>
          </cell>
          <cell r="O161">
            <v>1.7857142857142901E-2</v>
          </cell>
        </row>
        <row r="162">
          <cell r="A162" t="str">
            <v>August</v>
          </cell>
          <cell r="J162">
            <v>1</v>
          </cell>
          <cell r="M162">
            <v>68</v>
          </cell>
          <cell r="N162">
            <v>66</v>
          </cell>
          <cell r="O162">
            <v>1.5151515151515201E-2</v>
          </cell>
        </row>
        <row r="163">
          <cell r="A163" t="str">
            <v>August</v>
          </cell>
          <cell r="J163">
            <v>6</v>
          </cell>
          <cell r="M163">
            <v>1280</v>
          </cell>
          <cell r="N163">
            <v>1267</v>
          </cell>
          <cell r="O163">
            <v>4.7355958958168898E-3</v>
          </cell>
        </row>
        <row r="164">
          <cell r="A164" t="str">
            <v>August</v>
          </cell>
          <cell r="J164">
            <v>10</v>
          </cell>
          <cell r="M164">
            <v>38</v>
          </cell>
          <cell r="N164">
            <v>38</v>
          </cell>
          <cell r="O164">
            <v>0.26315789473684198</v>
          </cell>
        </row>
        <row r="165">
          <cell r="A165" t="str">
            <v>August</v>
          </cell>
          <cell r="J165">
            <v>0</v>
          </cell>
          <cell r="M165">
            <v>220</v>
          </cell>
          <cell r="N165">
            <v>213</v>
          </cell>
          <cell r="O165">
            <v>0</v>
          </cell>
        </row>
        <row r="166">
          <cell r="A166" t="str">
            <v>August</v>
          </cell>
          <cell r="J166">
            <v>0</v>
          </cell>
          <cell r="M166">
            <v>89</v>
          </cell>
          <cell r="N166">
            <v>86</v>
          </cell>
          <cell r="O166">
            <v>0</v>
          </cell>
        </row>
        <row r="167">
          <cell r="A167" t="str">
            <v>August</v>
          </cell>
          <cell r="J167">
            <v>4</v>
          </cell>
          <cell r="M167">
            <v>766</v>
          </cell>
          <cell r="N167">
            <v>728</v>
          </cell>
          <cell r="O167">
            <v>5.4945054945055001E-3</v>
          </cell>
        </row>
        <row r="168">
          <cell r="A168" t="str">
            <v>August</v>
          </cell>
          <cell r="J168">
            <v>2</v>
          </cell>
          <cell r="M168">
            <v>138</v>
          </cell>
          <cell r="N168">
            <v>137</v>
          </cell>
          <cell r="O168">
            <v>1.4598540145985399E-2</v>
          </cell>
        </row>
        <row r="169">
          <cell r="A169" t="str">
            <v>August</v>
          </cell>
          <cell r="J169">
            <v>0</v>
          </cell>
          <cell r="M169">
            <v>46</v>
          </cell>
          <cell r="N169">
            <v>44</v>
          </cell>
          <cell r="O169">
            <v>0</v>
          </cell>
        </row>
        <row r="170">
          <cell r="A170" t="str">
            <v>August</v>
          </cell>
          <cell r="J170">
            <v>2</v>
          </cell>
          <cell r="M170">
            <v>26</v>
          </cell>
          <cell r="N170">
            <v>23</v>
          </cell>
          <cell r="O170">
            <v>8.6956521739130405E-2</v>
          </cell>
        </row>
        <row r="171">
          <cell r="A171" t="str">
            <v>August</v>
          </cell>
          <cell r="J171">
            <v>2</v>
          </cell>
          <cell r="M171">
            <v>16</v>
          </cell>
          <cell r="N171">
            <v>10</v>
          </cell>
          <cell r="O171">
            <v>0.2</v>
          </cell>
        </row>
        <row r="172">
          <cell r="A172" t="str">
            <v>August</v>
          </cell>
          <cell r="J172">
            <v>9</v>
          </cell>
          <cell r="M172">
            <v>1122</v>
          </cell>
          <cell r="N172">
            <v>1122</v>
          </cell>
          <cell r="O172">
            <v>8.0213903743315499E-3</v>
          </cell>
        </row>
        <row r="173">
          <cell r="A173" t="str">
            <v>August</v>
          </cell>
          <cell r="J173">
            <v>5</v>
          </cell>
          <cell r="M173">
            <v>884</v>
          </cell>
          <cell r="N173">
            <v>855</v>
          </cell>
          <cell r="O173">
            <v>5.8479532163742704E-3</v>
          </cell>
        </row>
        <row r="174">
          <cell r="A174" t="str">
            <v>August</v>
          </cell>
          <cell r="J174">
            <v>7</v>
          </cell>
          <cell r="M174">
            <v>49</v>
          </cell>
          <cell r="N174">
            <v>46</v>
          </cell>
          <cell r="O174">
            <v>0.15217391304347799</v>
          </cell>
        </row>
        <row r="175">
          <cell r="A175" t="str">
            <v>August</v>
          </cell>
          <cell r="J175">
            <v>5</v>
          </cell>
          <cell r="M175">
            <v>129</v>
          </cell>
          <cell r="N175">
            <v>128</v>
          </cell>
          <cell r="O175">
            <v>3.90625E-2</v>
          </cell>
        </row>
        <row r="176">
          <cell r="A176" t="str">
            <v>August</v>
          </cell>
          <cell r="J176">
            <v>5</v>
          </cell>
          <cell r="M176">
            <v>260</v>
          </cell>
          <cell r="N176">
            <v>258</v>
          </cell>
          <cell r="O176">
            <v>1.9379844961240299E-2</v>
          </cell>
        </row>
        <row r="177">
          <cell r="A177" t="str">
            <v>August</v>
          </cell>
          <cell r="J177">
            <v>1</v>
          </cell>
          <cell r="M177">
            <v>23</v>
          </cell>
          <cell r="N177">
            <v>21</v>
          </cell>
          <cell r="O177">
            <v>4.7619047619047603E-2</v>
          </cell>
        </row>
        <row r="178">
          <cell r="A178" t="str">
            <v>August</v>
          </cell>
          <cell r="J178">
            <v>1</v>
          </cell>
          <cell r="M178">
            <v>34</v>
          </cell>
          <cell r="N178">
            <v>34</v>
          </cell>
          <cell r="O178">
            <v>2.9411764705882401E-2</v>
          </cell>
        </row>
        <row r="179">
          <cell r="A179" t="str">
            <v>August</v>
          </cell>
          <cell r="J179">
            <v>9</v>
          </cell>
          <cell r="M179">
            <v>31</v>
          </cell>
          <cell r="N179">
            <v>28</v>
          </cell>
          <cell r="O179">
            <v>0.32142857142857201</v>
          </cell>
        </row>
        <row r="180">
          <cell r="A180" t="str">
            <v>August</v>
          </cell>
          <cell r="J180">
            <v>3</v>
          </cell>
          <cell r="M180">
            <v>41</v>
          </cell>
          <cell r="N180">
            <v>39</v>
          </cell>
          <cell r="O180">
            <v>7.69230769230769E-2</v>
          </cell>
        </row>
        <row r="181">
          <cell r="A181" t="str">
            <v>August</v>
          </cell>
          <cell r="J181">
            <v>0</v>
          </cell>
          <cell r="M181">
            <v>107</v>
          </cell>
          <cell r="N181">
            <v>104</v>
          </cell>
          <cell r="O181">
            <v>0</v>
          </cell>
        </row>
        <row r="182">
          <cell r="A182" t="str">
            <v>August</v>
          </cell>
          <cell r="J182">
            <v>1</v>
          </cell>
          <cell r="M182">
            <v>236</v>
          </cell>
          <cell r="N182">
            <v>230</v>
          </cell>
          <cell r="O182">
            <v>4.3478260869565201E-3</v>
          </cell>
        </row>
        <row r="183">
          <cell r="A183" t="str">
            <v>August</v>
          </cell>
          <cell r="J183">
            <v>12</v>
          </cell>
          <cell r="M183">
            <v>1046</v>
          </cell>
          <cell r="N183">
            <v>1026</v>
          </cell>
          <cell r="O183">
            <v>1.1695906432748499E-2</v>
          </cell>
        </row>
        <row r="184">
          <cell r="A184" t="str">
            <v>August</v>
          </cell>
          <cell r="J184">
            <v>3</v>
          </cell>
          <cell r="M184">
            <v>566</v>
          </cell>
          <cell r="N184">
            <v>550</v>
          </cell>
          <cell r="O184">
            <v>5.4545454545454602E-3</v>
          </cell>
        </row>
        <row r="185">
          <cell r="A185" t="str">
            <v>August</v>
          </cell>
          <cell r="J185">
            <v>4</v>
          </cell>
          <cell r="M185">
            <v>52</v>
          </cell>
          <cell r="N185">
            <v>50</v>
          </cell>
          <cell r="O185">
            <v>0.08</v>
          </cell>
        </row>
        <row r="186">
          <cell r="A186" t="str">
            <v>August</v>
          </cell>
          <cell r="J186">
            <v>0</v>
          </cell>
          <cell r="M186">
            <v>95</v>
          </cell>
          <cell r="N186">
            <v>95</v>
          </cell>
          <cell r="O186">
            <v>0</v>
          </cell>
        </row>
        <row r="187">
          <cell r="A187" t="str">
            <v>August</v>
          </cell>
          <cell r="J187">
            <v>6</v>
          </cell>
          <cell r="M187">
            <v>228</v>
          </cell>
          <cell r="N187">
            <v>221</v>
          </cell>
          <cell r="O187">
            <v>2.7149321266968299E-2</v>
          </cell>
        </row>
        <row r="188">
          <cell r="A188" t="str">
            <v>August</v>
          </cell>
          <cell r="J188">
            <v>0</v>
          </cell>
          <cell r="M188">
            <v>18</v>
          </cell>
          <cell r="N188">
            <v>17</v>
          </cell>
          <cell r="O188">
            <v>0</v>
          </cell>
        </row>
        <row r="189">
          <cell r="A189" t="str">
            <v>August</v>
          </cell>
          <cell r="J189">
            <v>1</v>
          </cell>
          <cell r="M189">
            <v>18</v>
          </cell>
          <cell r="N189">
            <v>18</v>
          </cell>
          <cell r="O189">
            <v>5.5555555555555601E-2</v>
          </cell>
        </row>
        <row r="190">
          <cell r="A190" t="str">
            <v>August</v>
          </cell>
          <cell r="J190">
            <v>6</v>
          </cell>
          <cell r="M190">
            <v>23</v>
          </cell>
          <cell r="N190">
            <v>20</v>
          </cell>
          <cell r="O190">
            <v>0.3</v>
          </cell>
        </row>
        <row r="191">
          <cell r="A191" t="str">
            <v>August</v>
          </cell>
          <cell r="J191">
            <v>1</v>
          </cell>
          <cell r="M191">
            <v>52</v>
          </cell>
          <cell r="N191">
            <v>50</v>
          </cell>
          <cell r="O191">
            <v>0.02</v>
          </cell>
        </row>
        <row r="192">
          <cell r="A192" t="str">
            <v>August</v>
          </cell>
          <cell r="J192">
            <v>0</v>
          </cell>
          <cell r="M192">
            <v>79</v>
          </cell>
          <cell r="N192">
            <v>77</v>
          </cell>
          <cell r="O192">
            <v>0</v>
          </cell>
        </row>
        <row r="193">
          <cell r="A193" t="str">
            <v>August</v>
          </cell>
          <cell r="J193">
            <v>1</v>
          </cell>
          <cell r="M193">
            <v>187</v>
          </cell>
          <cell r="N193">
            <v>184</v>
          </cell>
          <cell r="O193">
            <v>5.4347826086956503E-3</v>
          </cell>
        </row>
        <row r="194">
          <cell r="A194" t="str">
            <v>August</v>
          </cell>
          <cell r="J194">
            <v>2</v>
          </cell>
          <cell r="M194">
            <v>16</v>
          </cell>
          <cell r="N194">
            <v>14</v>
          </cell>
          <cell r="O194">
            <v>0.14285714285714299</v>
          </cell>
        </row>
        <row r="195">
          <cell r="A195" t="str">
            <v>August</v>
          </cell>
          <cell r="J195">
            <v>3169</v>
          </cell>
          <cell r="M195">
            <v>144240</v>
          </cell>
          <cell r="N195">
            <v>65394</v>
          </cell>
          <cell r="O195">
            <v>4.8460103373398199E-2</v>
          </cell>
        </row>
        <row r="196">
          <cell r="A196" t="str">
            <v>August</v>
          </cell>
          <cell r="J196">
            <v>4993</v>
          </cell>
          <cell r="M196">
            <v>265318</v>
          </cell>
          <cell r="N196">
            <v>93950</v>
          </cell>
          <cell r="O196">
            <v>5.3145290047897802E-2</v>
          </cell>
        </row>
        <row r="197">
          <cell r="A197" t="str">
            <v>August</v>
          </cell>
          <cell r="J197">
            <v>2</v>
          </cell>
          <cell r="M197">
            <v>264</v>
          </cell>
          <cell r="N197">
            <v>259</v>
          </cell>
          <cell r="O197">
            <v>7.7220077220077196E-3</v>
          </cell>
        </row>
        <row r="198">
          <cell r="A198" t="str">
            <v>August</v>
          </cell>
          <cell r="J198">
            <v>0</v>
          </cell>
          <cell r="M198">
            <v>96</v>
          </cell>
          <cell r="N198">
            <v>93</v>
          </cell>
          <cell r="O198">
            <v>0</v>
          </cell>
        </row>
        <row r="199">
          <cell r="A199" t="str">
            <v>August</v>
          </cell>
          <cell r="J199">
            <v>4</v>
          </cell>
          <cell r="M199">
            <v>74</v>
          </cell>
          <cell r="N199">
            <v>65</v>
          </cell>
          <cell r="O199">
            <v>6.15384615384615E-2</v>
          </cell>
        </row>
        <row r="200">
          <cell r="A200" t="str">
            <v>August</v>
          </cell>
          <cell r="J200">
            <v>3</v>
          </cell>
          <cell r="M200">
            <v>249</v>
          </cell>
          <cell r="N200">
            <v>244</v>
          </cell>
          <cell r="O200">
            <v>1.2295081967213101E-2</v>
          </cell>
        </row>
        <row r="201">
          <cell r="A201" t="str">
            <v>August</v>
          </cell>
          <cell r="J201">
            <v>0</v>
          </cell>
          <cell r="M201">
            <v>52</v>
          </cell>
          <cell r="N201">
            <v>49</v>
          </cell>
          <cell r="O201">
            <v>0</v>
          </cell>
        </row>
        <row r="202">
          <cell r="A202" t="str">
            <v>August</v>
          </cell>
          <cell r="J202">
            <v>1</v>
          </cell>
          <cell r="M202">
            <v>724</v>
          </cell>
          <cell r="N202">
            <v>689</v>
          </cell>
          <cell r="O202">
            <v>1.45137880986938E-3</v>
          </cell>
        </row>
        <row r="203">
          <cell r="A203" t="str">
            <v>August</v>
          </cell>
          <cell r="J203">
            <v>0</v>
          </cell>
          <cell r="M203">
            <v>24</v>
          </cell>
          <cell r="N203">
            <v>24</v>
          </cell>
          <cell r="O203">
            <v>0</v>
          </cell>
        </row>
        <row r="204">
          <cell r="A204" t="str">
            <v>August</v>
          </cell>
          <cell r="J204">
            <v>7</v>
          </cell>
          <cell r="M204">
            <v>42</v>
          </cell>
          <cell r="N204">
            <v>39</v>
          </cell>
          <cell r="O204">
            <v>0.17948717948717999</v>
          </cell>
        </row>
        <row r="205">
          <cell r="A205" t="str">
            <v>August</v>
          </cell>
          <cell r="J205">
            <v>0</v>
          </cell>
          <cell r="M205">
            <v>25</v>
          </cell>
          <cell r="N205">
            <v>23</v>
          </cell>
          <cell r="O205">
            <v>0</v>
          </cell>
        </row>
        <row r="206">
          <cell r="A206" t="str">
            <v>August</v>
          </cell>
          <cell r="J206">
            <v>1</v>
          </cell>
          <cell r="M206">
            <v>102</v>
          </cell>
          <cell r="N206">
            <v>101</v>
          </cell>
          <cell r="O206">
            <v>9.9009900990098994E-3</v>
          </cell>
        </row>
        <row r="207">
          <cell r="A207" t="str">
            <v>August</v>
          </cell>
          <cell r="J207">
            <v>8</v>
          </cell>
          <cell r="M207">
            <v>855</v>
          </cell>
          <cell r="N207">
            <v>846</v>
          </cell>
          <cell r="O207">
            <v>9.4562647754137096E-3</v>
          </cell>
        </row>
        <row r="208">
          <cell r="A208" t="str">
            <v>August</v>
          </cell>
          <cell r="J208">
            <v>1</v>
          </cell>
          <cell r="M208">
            <v>11</v>
          </cell>
          <cell r="N208">
            <v>10</v>
          </cell>
          <cell r="O208">
            <v>0.1</v>
          </cell>
        </row>
        <row r="209">
          <cell r="A209" t="str">
            <v>August</v>
          </cell>
          <cell r="J209">
            <v>1</v>
          </cell>
          <cell r="M209">
            <v>14</v>
          </cell>
          <cell r="N209">
            <v>12</v>
          </cell>
          <cell r="O209">
            <v>8.3333333333333301E-2</v>
          </cell>
        </row>
        <row r="210">
          <cell r="A210" t="str">
            <v>August</v>
          </cell>
          <cell r="J210">
            <v>17</v>
          </cell>
          <cell r="M210">
            <v>81</v>
          </cell>
          <cell r="N210">
            <v>74</v>
          </cell>
          <cell r="O210">
            <v>0.22972972972972999</v>
          </cell>
        </row>
        <row r="211">
          <cell r="A211" t="str">
            <v>August</v>
          </cell>
          <cell r="J211">
            <v>1</v>
          </cell>
          <cell r="M211">
            <v>4</v>
          </cell>
          <cell r="N211">
            <v>4</v>
          </cell>
          <cell r="O211">
            <v>0.25</v>
          </cell>
        </row>
        <row r="212">
          <cell r="A212" t="str">
            <v>August</v>
          </cell>
          <cell r="J212">
            <v>1</v>
          </cell>
          <cell r="M212">
            <v>17</v>
          </cell>
          <cell r="N212">
            <v>16</v>
          </cell>
          <cell r="O212">
            <v>6.25E-2</v>
          </cell>
        </row>
        <row r="213">
          <cell r="A213" t="str">
            <v>August</v>
          </cell>
          <cell r="J213">
            <v>10</v>
          </cell>
          <cell r="M213">
            <v>179</v>
          </cell>
          <cell r="N213">
            <v>169</v>
          </cell>
          <cell r="O213">
            <v>5.9171597633136098E-2</v>
          </cell>
        </row>
        <row r="214">
          <cell r="A214" t="str">
            <v>August</v>
          </cell>
          <cell r="J214">
            <v>2</v>
          </cell>
          <cell r="M214">
            <v>11</v>
          </cell>
          <cell r="N214">
            <v>11</v>
          </cell>
          <cell r="O214">
            <v>0.18181818181818199</v>
          </cell>
        </row>
        <row r="215">
          <cell r="A215" t="str">
            <v>August</v>
          </cell>
          <cell r="J215">
            <v>2</v>
          </cell>
          <cell r="M215">
            <v>16</v>
          </cell>
          <cell r="N215">
            <v>14</v>
          </cell>
          <cell r="O215">
            <v>0.14285714285714299</v>
          </cell>
        </row>
        <row r="216">
          <cell r="A216" t="str">
            <v>August</v>
          </cell>
          <cell r="J216">
            <v>1</v>
          </cell>
          <cell r="M216">
            <v>22</v>
          </cell>
          <cell r="N216">
            <v>21</v>
          </cell>
          <cell r="O216">
            <v>4.7619047619047603E-2</v>
          </cell>
        </row>
        <row r="217">
          <cell r="A217" t="str">
            <v>August</v>
          </cell>
          <cell r="J217">
            <v>3</v>
          </cell>
          <cell r="M217">
            <v>37</v>
          </cell>
          <cell r="N217">
            <v>37</v>
          </cell>
          <cell r="O217">
            <v>8.1081081081081099E-2</v>
          </cell>
        </row>
        <row r="218">
          <cell r="A218" t="str">
            <v>August</v>
          </cell>
          <cell r="J218">
            <v>5</v>
          </cell>
          <cell r="M218">
            <v>28</v>
          </cell>
          <cell r="N218">
            <v>23</v>
          </cell>
          <cell r="O218">
            <v>0.217391304347826</v>
          </cell>
        </row>
        <row r="219">
          <cell r="A219" t="str">
            <v>August</v>
          </cell>
          <cell r="J219">
            <v>2</v>
          </cell>
          <cell r="M219">
            <v>12</v>
          </cell>
          <cell r="N219">
            <v>12</v>
          </cell>
          <cell r="O219">
            <v>0.16666666666666699</v>
          </cell>
        </row>
        <row r="220">
          <cell r="A220" t="str">
            <v>August</v>
          </cell>
          <cell r="J220">
            <v>0</v>
          </cell>
          <cell r="M220">
            <v>16</v>
          </cell>
          <cell r="N220">
            <v>12</v>
          </cell>
          <cell r="O220">
            <v>0</v>
          </cell>
        </row>
        <row r="221">
          <cell r="A221" t="str">
            <v>August</v>
          </cell>
          <cell r="J221">
            <v>10</v>
          </cell>
          <cell r="M221">
            <v>82</v>
          </cell>
          <cell r="N221">
            <v>59</v>
          </cell>
          <cell r="O221">
            <v>0.169491525423729</v>
          </cell>
        </row>
        <row r="222">
          <cell r="A222" t="str">
            <v>August</v>
          </cell>
          <cell r="J222">
            <v>0</v>
          </cell>
          <cell r="M222">
            <v>7</v>
          </cell>
          <cell r="N222">
            <v>5</v>
          </cell>
          <cell r="O222">
            <v>0</v>
          </cell>
        </row>
        <row r="223">
          <cell r="A223" t="str">
            <v>August</v>
          </cell>
          <cell r="J223">
            <v>0</v>
          </cell>
          <cell r="M223">
            <v>17</v>
          </cell>
          <cell r="N223">
            <v>14</v>
          </cell>
          <cell r="O223">
            <v>0</v>
          </cell>
        </row>
        <row r="224">
          <cell r="A224" t="str">
            <v>August</v>
          </cell>
          <cell r="J224">
            <v>7</v>
          </cell>
          <cell r="M224">
            <v>158</v>
          </cell>
          <cell r="N224">
            <v>123</v>
          </cell>
          <cell r="O224">
            <v>5.6910569105691103E-2</v>
          </cell>
        </row>
        <row r="225">
          <cell r="A225" t="str">
            <v>August</v>
          </cell>
          <cell r="J225">
            <v>1</v>
          </cell>
          <cell r="M225">
            <v>15</v>
          </cell>
          <cell r="N225">
            <v>11</v>
          </cell>
          <cell r="O225">
            <v>9.0909090909090898E-2</v>
          </cell>
        </row>
        <row r="226">
          <cell r="A226" t="str">
            <v>August</v>
          </cell>
          <cell r="J226">
            <v>1</v>
          </cell>
          <cell r="M226">
            <v>13</v>
          </cell>
          <cell r="N226">
            <v>11</v>
          </cell>
          <cell r="O226">
            <v>9.0909090909090898E-2</v>
          </cell>
        </row>
        <row r="227">
          <cell r="A227" t="str">
            <v>August</v>
          </cell>
          <cell r="J227">
            <v>0</v>
          </cell>
          <cell r="M227">
            <v>16</v>
          </cell>
          <cell r="N227">
            <v>15</v>
          </cell>
          <cell r="O227">
            <v>0</v>
          </cell>
        </row>
        <row r="228">
          <cell r="A228" t="str">
            <v>August</v>
          </cell>
          <cell r="J228">
            <v>2</v>
          </cell>
          <cell r="M228">
            <v>65</v>
          </cell>
          <cell r="N228">
            <v>52</v>
          </cell>
          <cell r="O228">
            <v>3.8461538461538498E-2</v>
          </cell>
        </row>
        <row r="229">
          <cell r="A229" t="str">
            <v>August</v>
          </cell>
          <cell r="J229">
            <v>3</v>
          </cell>
          <cell r="M229">
            <v>32</v>
          </cell>
          <cell r="N229">
            <v>25</v>
          </cell>
          <cell r="O229">
            <v>0.12</v>
          </cell>
        </row>
        <row r="230">
          <cell r="A230" t="str">
            <v>August</v>
          </cell>
          <cell r="J230">
            <v>6</v>
          </cell>
          <cell r="M230">
            <v>41</v>
          </cell>
          <cell r="N230">
            <v>31</v>
          </cell>
          <cell r="O230">
            <v>0.19354838709677399</v>
          </cell>
        </row>
        <row r="231">
          <cell r="A231" t="str">
            <v>August</v>
          </cell>
          <cell r="J231">
            <v>18</v>
          </cell>
          <cell r="M231">
            <v>204</v>
          </cell>
          <cell r="N231">
            <v>189</v>
          </cell>
          <cell r="O231">
            <v>9.5238095238095205E-2</v>
          </cell>
        </row>
        <row r="232">
          <cell r="A232" t="str">
            <v>August</v>
          </cell>
          <cell r="J232">
            <v>0</v>
          </cell>
          <cell r="M232">
            <v>10</v>
          </cell>
          <cell r="N232">
            <v>10</v>
          </cell>
          <cell r="O232">
            <v>0</v>
          </cell>
        </row>
        <row r="233">
          <cell r="A233" t="str">
            <v>August</v>
          </cell>
          <cell r="J233">
            <v>1</v>
          </cell>
          <cell r="M233">
            <v>12</v>
          </cell>
          <cell r="N233">
            <v>11</v>
          </cell>
          <cell r="O233">
            <v>9.0909090909090898E-2</v>
          </cell>
        </row>
        <row r="234">
          <cell r="A234" t="str">
            <v>August</v>
          </cell>
          <cell r="J234">
            <v>0</v>
          </cell>
          <cell r="M234">
            <v>5</v>
          </cell>
          <cell r="N234">
            <v>5</v>
          </cell>
          <cell r="O234">
            <v>0</v>
          </cell>
        </row>
        <row r="235">
          <cell r="A235" t="str">
            <v>August</v>
          </cell>
          <cell r="J235">
            <v>1</v>
          </cell>
          <cell r="M235">
            <v>37</v>
          </cell>
          <cell r="N235">
            <v>31</v>
          </cell>
          <cell r="O235">
            <v>3.2258064516128997E-2</v>
          </cell>
        </row>
        <row r="236">
          <cell r="A236" t="str">
            <v>August</v>
          </cell>
          <cell r="J236">
            <v>9</v>
          </cell>
          <cell r="M236">
            <v>75</v>
          </cell>
          <cell r="N236">
            <v>62</v>
          </cell>
          <cell r="O236">
            <v>0.14516129032258099</v>
          </cell>
        </row>
        <row r="237">
          <cell r="A237" t="str">
            <v>August</v>
          </cell>
          <cell r="J237">
            <v>1</v>
          </cell>
          <cell r="M237">
            <v>14</v>
          </cell>
          <cell r="N237">
            <v>14</v>
          </cell>
          <cell r="O237">
            <v>7.1428571428571397E-2</v>
          </cell>
        </row>
        <row r="238">
          <cell r="A238" t="str">
            <v>August</v>
          </cell>
          <cell r="J238">
            <v>0</v>
          </cell>
          <cell r="M238">
            <v>9</v>
          </cell>
          <cell r="N238">
            <v>9</v>
          </cell>
          <cell r="O238">
            <v>0</v>
          </cell>
        </row>
        <row r="239">
          <cell r="A239" t="str">
            <v>August</v>
          </cell>
          <cell r="J239">
            <v>3</v>
          </cell>
          <cell r="M239">
            <v>12</v>
          </cell>
          <cell r="N239">
            <v>12</v>
          </cell>
          <cell r="O239">
            <v>0.25</v>
          </cell>
        </row>
        <row r="240">
          <cell r="A240" t="str">
            <v>August</v>
          </cell>
          <cell r="J240">
            <v>1</v>
          </cell>
          <cell r="M240">
            <v>8</v>
          </cell>
          <cell r="N240">
            <v>8</v>
          </cell>
          <cell r="O240">
            <v>0.125</v>
          </cell>
        </row>
        <row r="241">
          <cell r="A241" t="str">
            <v>August</v>
          </cell>
          <cell r="J241">
            <v>4</v>
          </cell>
          <cell r="M241">
            <v>49</v>
          </cell>
          <cell r="N241">
            <v>47</v>
          </cell>
          <cell r="O241">
            <v>8.5106382978723402E-2</v>
          </cell>
        </row>
        <row r="242">
          <cell r="A242" t="str">
            <v>August</v>
          </cell>
          <cell r="J242">
            <v>17</v>
          </cell>
          <cell r="M242">
            <v>88</v>
          </cell>
          <cell r="N242">
            <v>79</v>
          </cell>
          <cell r="O242">
            <v>0.215189873417722</v>
          </cell>
        </row>
        <row r="243">
          <cell r="A243" t="str">
            <v>August</v>
          </cell>
          <cell r="J243">
            <v>8</v>
          </cell>
          <cell r="M243">
            <v>153</v>
          </cell>
          <cell r="N243">
            <v>144</v>
          </cell>
          <cell r="O243">
            <v>5.5555555555555601E-2</v>
          </cell>
        </row>
        <row r="244">
          <cell r="A244" t="str">
            <v>August</v>
          </cell>
          <cell r="J244">
            <v>0</v>
          </cell>
          <cell r="M244">
            <v>13</v>
          </cell>
          <cell r="N244">
            <v>12</v>
          </cell>
          <cell r="O244">
            <v>0</v>
          </cell>
        </row>
        <row r="245">
          <cell r="A245" t="str">
            <v>August</v>
          </cell>
          <cell r="J245">
            <v>2</v>
          </cell>
          <cell r="M245">
            <v>11</v>
          </cell>
          <cell r="N245">
            <v>11</v>
          </cell>
          <cell r="O245">
            <v>0.18181818181818199</v>
          </cell>
        </row>
        <row r="246">
          <cell r="A246" t="str">
            <v>August</v>
          </cell>
          <cell r="J246">
            <v>1</v>
          </cell>
          <cell r="M246">
            <v>13</v>
          </cell>
          <cell r="N246">
            <v>12</v>
          </cell>
          <cell r="O246">
            <v>8.3333333333333301E-2</v>
          </cell>
        </row>
        <row r="247">
          <cell r="A247" t="str">
            <v>August</v>
          </cell>
          <cell r="J247">
            <v>0</v>
          </cell>
          <cell r="M247">
            <v>4</v>
          </cell>
          <cell r="N247">
            <v>3</v>
          </cell>
          <cell r="O247">
            <v>0</v>
          </cell>
        </row>
        <row r="248">
          <cell r="A248" t="str">
            <v>August</v>
          </cell>
          <cell r="J248">
            <v>0</v>
          </cell>
          <cell r="M248">
            <v>6</v>
          </cell>
          <cell r="N248">
            <v>6</v>
          </cell>
          <cell r="O248">
            <v>0</v>
          </cell>
        </row>
        <row r="249">
          <cell r="A249" t="str">
            <v>August</v>
          </cell>
          <cell r="J249">
            <v>0</v>
          </cell>
          <cell r="M249">
            <v>15</v>
          </cell>
          <cell r="N249">
            <v>15</v>
          </cell>
          <cell r="O249">
            <v>0</v>
          </cell>
        </row>
        <row r="250">
          <cell r="A250" t="str">
            <v>August</v>
          </cell>
          <cell r="J250">
            <v>0</v>
          </cell>
          <cell r="M250">
            <v>8</v>
          </cell>
          <cell r="N250">
            <v>8</v>
          </cell>
          <cell r="O250">
            <v>0</v>
          </cell>
        </row>
        <row r="251">
          <cell r="A251" t="str">
            <v>August</v>
          </cell>
          <cell r="J251">
            <v>19</v>
          </cell>
          <cell r="M251">
            <v>62</v>
          </cell>
          <cell r="N251">
            <v>56</v>
          </cell>
          <cell r="O251">
            <v>0.33928571428571402</v>
          </cell>
        </row>
        <row r="252">
          <cell r="A252" t="str">
            <v>August</v>
          </cell>
          <cell r="J252">
            <v>13</v>
          </cell>
          <cell r="M252">
            <v>238</v>
          </cell>
          <cell r="N252">
            <v>224</v>
          </cell>
          <cell r="O252">
            <v>5.8035714285714302E-2</v>
          </cell>
        </row>
        <row r="253">
          <cell r="A253" t="str">
            <v>August</v>
          </cell>
          <cell r="J253">
            <v>0</v>
          </cell>
          <cell r="M253">
            <v>30</v>
          </cell>
          <cell r="N253">
            <v>29</v>
          </cell>
          <cell r="O253">
            <v>0</v>
          </cell>
        </row>
        <row r="254">
          <cell r="A254" t="str">
            <v>August</v>
          </cell>
          <cell r="J254">
            <v>1</v>
          </cell>
          <cell r="M254">
            <v>22</v>
          </cell>
          <cell r="N254">
            <v>22</v>
          </cell>
          <cell r="O254">
            <v>4.5454545454545497E-2</v>
          </cell>
        </row>
        <row r="255">
          <cell r="A255" t="str">
            <v>August</v>
          </cell>
          <cell r="J255">
            <v>0</v>
          </cell>
          <cell r="M255">
            <v>16</v>
          </cell>
          <cell r="N255">
            <v>16</v>
          </cell>
          <cell r="O255">
            <v>0</v>
          </cell>
        </row>
        <row r="256">
          <cell r="A256" t="str">
            <v>August</v>
          </cell>
          <cell r="J256">
            <v>5</v>
          </cell>
          <cell r="M256">
            <v>61</v>
          </cell>
          <cell r="N256">
            <v>53</v>
          </cell>
          <cell r="O256">
            <v>9.4339622641509399E-2</v>
          </cell>
        </row>
        <row r="257">
          <cell r="A257" t="str">
            <v>August</v>
          </cell>
          <cell r="J257">
            <v>0</v>
          </cell>
          <cell r="M257">
            <v>14</v>
          </cell>
          <cell r="N257">
            <v>14</v>
          </cell>
          <cell r="O257">
            <v>0</v>
          </cell>
        </row>
        <row r="258">
          <cell r="A258" t="str">
            <v>August</v>
          </cell>
          <cell r="J258">
            <v>1</v>
          </cell>
          <cell r="M258">
            <v>81</v>
          </cell>
          <cell r="N258">
            <v>66</v>
          </cell>
          <cell r="O258">
            <v>1.5151515151515201E-2</v>
          </cell>
        </row>
        <row r="259">
          <cell r="A259" t="str">
            <v>August</v>
          </cell>
          <cell r="J259">
            <v>3</v>
          </cell>
          <cell r="M259">
            <v>16</v>
          </cell>
          <cell r="N259">
            <v>15</v>
          </cell>
          <cell r="O259">
            <v>0.2</v>
          </cell>
        </row>
        <row r="260">
          <cell r="A260" t="str">
            <v>August</v>
          </cell>
          <cell r="J260">
            <v>1</v>
          </cell>
          <cell r="M260">
            <v>18</v>
          </cell>
          <cell r="N260">
            <v>18</v>
          </cell>
          <cell r="O260">
            <v>5.5555555555555601E-2</v>
          </cell>
        </row>
        <row r="261">
          <cell r="A261" t="str">
            <v>August</v>
          </cell>
          <cell r="J261">
            <v>4</v>
          </cell>
          <cell r="M261">
            <v>46</v>
          </cell>
          <cell r="N261">
            <v>46</v>
          </cell>
          <cell r="O261">
            <v>8.6956521739130405E-2</v>
          </cell>
        </row>
        <row r="262">
          <cell r="A262" t="str">
            <v>August</v>
          </cell>
          <cell r="J262">
            <v>1</v>
          </cell>
          <cell r="M262">
            <v>6</v>
          </cell>
          <cell r="N262">
            <v>6</v>
          </cell>
          <cell r="O262">
            <v>0.16666666666666699</v>
          </cell>
        </row>
        <row r="263">
          <cell r="A263" t="str">
            <v>September</v>
          </cell>
          <cell r="J263">
            <v>1</v>
          </cell>
          <cell r="M263">
            <v>121</v>
          </cell>
          <cell r="N263">
            <v>114</v>
          </cell>
          <cell r="O263">
            <v>8.7719298245613996E-3</v>
          </cell>
        </row>
        <row r="264">
          <cell r="A264" t="str">
            <v>September</v>
          </cell>
          <cell r="J264">
            <v>7</v>
          </cell>
          <cell r="M264">
            <v>22</v>
          </cell>
          <cell r="N264">
            <v>22</v>
          </cell>
          <cell r="O264">
            <v>0.31818181818181801</v>
          </cell>
        </row>
        <row r="265">
          <cell r="A265" t="str">
            <v>September</v>
          </cell>
          <cell r="J265">
            <v>2</v>
          </cell>
          <cell r="M265">
            <v>19</v>
          </cell>
          <cell r="N265">
            <v>15</v>
          </cell>
          <cell r="O265">
            <v>0.133333333333333</v>
          </cell>
        </row>
        <row r="266">
          <cell r="A266" t="str">
            <v>September</v>
          </cell>
          <cell r="J266">
            <v>0</v>
          </cell>
          <cell r="M266">
            <v>143</v>
          </cell>
          <cell r="N266">
            <v>141</v>
          </cell>
          <cell r="O266">
            <v>0</v>
          </cell>
        </row>
        <row r="267">
          <cell r="A267" t="str">
            <v>September</v>
          </cell>
          <cell r="J267">
            <v>2</v>
          </cell>
          <cell r="M267">
            <v>110</v>
          </cell>
          <cell r="N267">
            <v>110</v>
          </cell>
          <cell r="O267">
            <v>1.8181818181818198E-2</v>
          </cell>
        </row>
        <row r="268">
          <cell r="A268" t="str">
            <v>September</v>
          </cell>
          <cell r="J268">
            <v>4</v>
          </cell>
          <cell r="M268">
            <v>31</v>
          </cell>
          <cell r="N268">
            <v>30</v>
          </cell>
          <cell r="O268">
            <v>0.133333333333333</v>
          </cell>
        </row>
        <row r="269">
          <cell r="A269" t="str">
            <v>September</v>
          </cell>
          <cell r="J269">
            <v>4</v>
          </cell>
          <cell r="M269">
            <v>523</v>
          </cell>
          <cell r="N269">
            <v>523</v>
          </cell>
          <cell r="O269">
            <v>7.64818355640535E-3</v>
          </cell>
        </row>
        <row r="270">
          <cell r="A270" t="str">
            <v>September</v>
          </cell>
          <cell r="J270">
            <v>5</v>
          </cell>
          <cell r="M270">
            <v>594</v>
          </cell>
          <cell r="N270">
            <v>564</v>
          </cell>
          <cell r="O270">
            <v>8.8652482269503605E-3</v>
          </cell>
        </row>
        <row r="271">
          <cell r="A271" t="str">
            <v>September</v>
          </cell>
          <cell r="J271">
            <v>0</v>
          </cell>
          <cell r="M271">
            <v>61</v>
          </cell>
          <cell r="N271">
            <v>61</v>
          </cell>
          <cell r="O271">
            <v>0</v>
          </cell>
        </row>
        <row r="272">
          <cell r="A272" t="str">
            <v>September</v>
          </cell>
          <cell r="J272">
            <v>5</v>
          </cell>
          <cell r="M272">
            <v>209</v>
          </cell>
          <cell r="N272">
            <v>205</v>
          </cell>
          <cell r="O272">
            <v>2.4390243902439001E-2</v>
          </cell>
        </row>
        <row r="273">
          <cell r="A273" t="str">
            <v>September</v>
          </cell>
          <cell r="J273">
            <v>0</v>
          </cell>
          <cell r="M273">
            <v>19</v>
          </cell>
          <cell r="N273">
            <v>19</v>
          </cell>
          <cell r="O273">
            <v>0</v>
          </cell>
        </row>
        <row r="274">
          <cell r="A274" t="str">
            <v>September</v>
          </cell>
          <cell r="J274">
            <v>3</v>
          </cell>
          <cell r="M274">
            <v>21</v>
          </cell>
          <cell r="N274">
            <v>20</v>
          </cell>
          <cell r="O274">
            <v>0.15</v>
          </cell>
        </row>
        <row r="275">
          <cell r="A275" t="str">
            <v>September</v>
          </cell>
          <cell r="J275">
            <v>1</v>
          </cell>
          <cell r="M275">
            <v>174</v>
          </cell>
          <cell r="N275">
            <v>169</v>
          </cell>
          <cell r="O275">
            <v>5.9171597633136102E-3</v>
          </cell>
        </row>
        <row r="276">
          <cell r="A276" t="str">
            <v>September</v>
          </cell>
          <cell r="J276">
            <v>0</v>
          </cell>
          <cell r="M276">
            <v>27</v>
          </cell>
          <cell r="N276">
            <v>25</v>
          </cell>
          <cell r="O276">
            <v>0</v>
          </cell>
        </row>
        <row r="277">
          <cell r="A277" t="str">
            <v>September</v>
          </cell>
          <cell r="J277">
            <v>0</v>
          </cell>
          <cell r="M277">
            <v>62</v>
          </cell>
          <cell r="N277">
            <v>61</v>
          </cell>
          <cell r="O277">
            <v>0</v>
          </cell>
        </row>
        <row r="278">
          <cell r="A278" t="str">
            <v>September</v>
          </cell>
          <cell r="J278">
            <v>3</v>
          </cell>
          <cell r="M278">
            <v>83</v>
          </cell>
          <cell r="N278">
            <v>78</v>
          </cell>
          <cell r="O278">
            <v>3.8461538461538498E-2</v>
          </cell>
        </row>
        <row r="279">
          <cell r="A279" t="str">
            <v>September</v>
          </cell>
          <cell r="J279">
            <v>4</v>
          </cell>
          <cell r="M279">
            <v>25</v>
          </cell>
          <cell r="N279">
            <v>24</v>
          </cell>
          <cell r="O279">
            <v>0.16666666666666699</v>
          </cell>
        </row>
        <row r="280">
          <cell r="A280" t="str">
            <v>September</v>
          </cell>
          <cell r="J280">
            <v>0</v>
          </cell>
          <cell r="M280">
            <v>25</v>
          </cell>
          <cell r="N280">
            <v>20</v>
          </cell>
          <cell r="O280">
            <v>0</v>
          </cell>
        </row>
        <row r="281">
          <cell r="A281" t="str">
            <v>September</v>
          </cell>
          <cell r="J281">
            <v>7</v>
          </cell>
          <cell r="M281">
            <v>231</v>
          </cell>
          <cell r="N281">
            <v>227</v>
          </cell>
          <cell r="O281">
            <v>3.0837004405286299E-2</v>
          </cell>
        </row>
        <row r="282">
          <cell r="A282" t="str">
            <v>September</v>
          </cell>
          <cell r="J282">
            <v>3</v>
          </cell>
          <cell r="M282">
            <v>64</v>
          </cell>
          <cell r="N282">
            <v>64</v>
          </cell>
          <cell r="O282">
            <v>4.6875E-2</v>
          </cell>
        </row>
        <row r="283">
          <cell r="A283" t="str">
            <v>September</v>
          </cell>
          <cell r="J283">
            <v>9</v>
          </cell>
          <cell r="M283">
            <v>37</v>
          </cell>
          <cell r="N283">
            <v>33</v>
          </cell>
          <cell r="O283">
            <v>0.27272727272727298</v>
          </cell>
        </row>
        <row r="284">
          <cell r="A284" t="str">
            <v>September</v>
          </cell>
          <cell r="J284">
            <v>0</v>
          </cell>
          <cell r="M284">
            <v>557</v>
          </cell>
          <cell r="N284">
            <v>547</v>
          </cell>
          <cell r="O284">
            <v>0</v>
          </cell>
        </row>
        <row r="285">
          <cell r="A285" t="str">
            <v>September</v>
          </cell>
          <cell r="J285">
            <v>2</v>
          </cell>
          <cell r="M285">
            <v>542</v>
          </cell>
          <cell r="N285">
            <v>542</v>
          </cell>
          <cell r="O285">
            <v>3.6900369003690001E-3</v>
          </cell>
        </row>
        <row r="286">
          <cell r="A286" t="str">
            <v>September</v>
          </cell>
          <cell r="J286">
            <v>0</v>
          </cell>
          <cell r="M286">
            <v>14</v>
          </cell>
          <cell r="N286">
            <v>13</v>
          </cell>
          <cell r="O286">
            <v>0</v>
          </cell>
        </row>
        <row r="287">
          <cell r="A287" t="str">
            <v>September</v>
          </cell>
          <cell r="J287">
            <v>0</v>
          </cell>
          <cell r="M287">
            <v>85</v>
          </cell>
          <cell r="N287">
            <v>84</v>
          </cell>
          <cell r="O287">
            <v>0</v>
          </cell>
        </row>
        <row r="288">
          <cell r="A288" t="str">
            <v>September</v>
          </cell>
          <cell r="J288">
            <v>14</v>
          </cell>
          <cell r="M288">
            <v>227</v>
          </cell>
          <cell r="N288">
            <v>224</v>
          </cell>
          <cell r="O288">
            <v>6.25E-2</v>
          </cell>
        </row>
        <row r="289">
          <cell r="A289" t="str">
            <v>September</v>
          </cell>
          <cell r="J289">
            <v>0</v>
          </cell>
          <cell r="M289">
            <v>154</v>
          </cell>
          <cell r="N289">
            <v>149</v>
          </cell>
          <cell r="O289">
            <v>0</v>
          </cell>
        </row>
        <row r="290">
          <cell r="A290" t="str">
            <v>September</v>
          </cell>
          <cell r="J290">
            <v>0</v>
          </cell>
          <cell r="M290">
            <v>37</v>
          </cell>
          <cell r="N290">
            <v>33</v>
          </cell>
          <cell r="O290">
            <v>0</v>
          </cell>
        </row>
        <row r="291">
          <cell r="A291" t="str">
            <v>September</v>
          </cell>
          <cell r="J291">
            <v>2</v>
          </cell>
          <cell r="M291">
            <v>14</v>
          </cell>
          <cell r="N291">
            <v>13</v>
          </cell>
          <cell r="O291">
            <v>0.15384615384615399</v>
          </cell>
        </row>
        <row r="292">
          <cell r="A292" t="str">
            <v>September</v>
          </cell>
          <cell r="J292">
            <v>1</v>
          </cell>
          <cell r="M292">
            <v>16</v>
          </cell>
          <cell r="N292">
            <v>16</v>
          </cell>
          <cell r="O292">
            <v>6.25E-2</v>
          </cell>
        </row>
        <row r="293">
          <cell r="A293" t="str">
            <v>September</v>
          </cell>
          <cell r="J293">
            <v>0</v>
          </cell>
          <cell r="M293">
            <v>20</v>
          </cell>
          <cell r="N293">
            <v>14</v>
          </cell>
          <cell r="O293">
            <v>0</v>
          </cell>
        </row>
        <row r="294">
          <cell r="A294" t="str">
            <v>September</v>
          </cell>
          <cell r="J294">
            <v>3</v>
          </cell>
          <cell r="M294">
            <v>76</v>
          </cell>
          <cell r="N294">
            <v>75</v>
          </cell>
          <cell r="O294">
            <v>0.04</v>
          </cell>
        </row>
        <row r="295">
          <cell r="A295" t="str">
            <v>September</v>
          </cell>
          <cell r="J295">
            <v>5</v>
          </cell>
          <cell r="M295">
            <v>32</v>
          </cell>
          <cell r="N295">
            <v>29</v>
          </cell>
          <cell r="O295">
            <v>0.17241379310344801</v>
          </cell>
        </row>
        <row r="296">
          <cell r="A296" t="str">
            <v>September</v>
          </cell>
          <cell r="J296">
            <v>4</v>
          </cell>
          <cell r="M296">
            <v>546</v>
          </cell>
          <cell r="N296">
            <v>522</v>
          </cell>
          <cell r="O296">
            <v>7.6628352490421504E-3</v>
          </cell>
        </row>
        <row r="297">
          <cell r="A297" t="str">
            <v>September</v>
          </cell>
          <cell r="J297">
            <v>10</v>
          </cell>
          <cell r="M297">
            <v>569</v>
          </cell>
          <cell r="N297">
            <v>569</v>
          </cell>
          <cell r="O297">
            <v>1.75746924428823E-2</v>
          </cell>
        </row>
        <row r="298">
          <cell r="A298" t="str">
            <v>September</v>
          </cell>
          <cell r="J298">
            <v>8</v>
          </cell>
          <cell r="M298">
            <v>494</v>
          </cell>
          <cell r="N298">
            <v>484</v>
          </cell>
          <cell r="O298">
            <v>1.6528925619834701E-2</v>
          </cell>
        </row>
        <row r="299">
          <cell r="A299" t="str">
            <v>September</v>
          </cell>
          <cell r="J299">
            <v>3</v>
          </cell>
          <cell r="M299">
            <v>781</v>
          </cell>
          <cell r="N299">
            <v>781</v>
          </cell>
          <cell r="O299">
            <v>3.8412291933418701E-3</v>
          </cell>
        </row>
        <row r="300">
          <cell r="A300" t="str">
            <v>September</v>
          </cell>
          <cell r="J300">
            <v>0</v>
          </cell>
          <cell r="M300">
            <v>33</v>
          </cell>
          <cell r="N300">
            <v>33</v>
          </cell>
          <cell r="O300">
            <v>0</v>
          </cell>
        </row>
        <row r="301">
          <cell r="A301" t="str">
            <v>September</v>
          </cell>
          <cell r="J301">
            <v>6</v>
          </cell>
          <cell r="M301">
            <v>397</v>
          </cell>
          <cell r="N301">
            <v>384</v>
          </cell>
          <cell r="O301">
            <v>1.5625E-2</v>
          </cell>
        </row>
        <row r="302">
          <cell r="A302" t="str">
            <v>September</v>
          </cell>
          <cell r="J302">
            <v>0</v>
          </cell>
          <cell r="M302">
            <v>29</v>
          </cell>
          <cell r="N302">
            <v>22</v>
          </cell>
          <cell r="O302">
            <v>0</v>
          </cell>
        </row>
        <row r="303">
          <cell r="A303" t="str">
            <v>September</v>
          </cell>
          <cell r="J303">
            <v>2</v>
          </cell>
          <cell r="M303">
            <v>46</v>
          </cell>
          <cell r="N303">
            <v>42</v>
          </cell>
          <cell r="O303">
            <v>4.7619047619047603E-2</v>
          </cell>
        </row>
        <row r="304">
          <cell r="A304" t="str">
            <v>September</v>
          </cell>
          <cell r="J304">
            <v>0</v>
          </cell>
          <cell r="M304">
            <v>126</v>
          </cell>
          <cell r="N304">
            <v>125</v>
          </cell>
          <cell r="O304">
            <v>0</v>
          </cell>
        </row>
        <row r="305">
          <cell r="A305" t="str">
            <v>September</v>
          </cell>
          <cell r="J305">
            <v>7</v>
          </cell>
          <cell r="M305">
            <v>1069</v>
          </cell>
          <cell r="N305">
            <v>1066</v>
          </cell>
          <cell r="O305">
            <v>6.5666041275797404E-3</v>
          </cell>
        </row>
        <row r="306">
          <cell r="A306" t="str">
            <v>September</v>
          </cell>
          <cell r="J306">
            <v>1</v>
          </cell>
          <cell r="M306">
            <v>30</v>
          </cell>
          <cell r="N306">
            <v>29</v>
          </cell>
          <cell r="O306">
            <v>3.4482758620689703E-2</v>
          </cell>
        </row>
        <row r="307">
          <cell r="A307" t="str">
            <v>September</v>
          </cell>
          <cell r="J307">
            <v>3</v>
          </cell>
          <cell r="M307">
            <v>48</v>
          </cell>
          <cell r="N307">
            <v>43</v>
          </cell>
          <cell r="O307">
            <v>6.9767441860465101E-2</v>
          </cell>
        </row>
        <row r="308">
          <cell r="A308" t="str">
            <v>September</v>
          </cell>
          <cell r="J308">
            <v>2</v>
          </cell>
          <cell r="M308">
            <v>200</v>
          </cell>
          <cell r="N308">
            <v>200</v>
          </cell>
          <cell r="O308">
            <v>0.01</v>
          </cell>
        </row>
        <row r="309">
          <cell r="A309" t="str">
            <v>September</v>
          </cell>
          <cell r="J309">
            <v>4</v>
          </cell>
          <cell r="M309">
            <v>311</v>
          </cell>
          <cell r="N309">
            <v>303</v>
          </cell>
          <cell r="O309">
            <v>1.32013201320132E-2</v>
          </cell>
        </row>
        <row r="310">
          <cell r="A310" t="str">
            <v>September</v>
          </cell>
          <cell r="J310">
            <v>1</v>
          </cell>
          <cell r="M310">
            <v>62</v>
          </cell>
          <cell r="N310">
            <v>61</v>
          </cell>
          <cell r="O310">
            <v>1.63934426229508E-2</v>
          </cell>
        </row>
        <row r="311">
          <cell r="A311" t="str">
            <v>September</v>
          </cell>
          <cell r="J311">
            <v>176204</v>
          </cell>
          <cell r="M311">
            <v>673826</v>
          </cell>
          <cell r="N311">
            <v>661438</v>
          </cell>
          <cell r="O311">
            <v>0.26639533864096099</v>
          </cell>
        </row>
        <row r="312">
          <cell r="A312" t="str">
            <v>September</v>
          </cell>
          <cell r="J312">
            <v>5</v>
          </cell>
          <cell r="M312">
            <v>18</v>
          </cell>
          <cell r="N312">
            <v>17</v>
          </cell>
          <cell r="O312">
            <v>0.29411764705882398</v>
          </cell>
        </row>
        <row r="313">
          <cell r="A313" t="str">
            <v>September</v>
          </cell>
          <cell r="J313">
            <v>310752</v>
          </cell>
          <cell r="M313">
            <v>781817</v>
          </cell>
          <cell r="N313">
            <v>781817</v>
          </cell>
          <cell r="O313">
            <v>0.39747408920501898</v>
          </cell>
        </row>
        <row r="314">
          <cell r="A314" t="str">
            <v>September</v>
          </cell>
          <cell r="J314">
            <v>76171</v>
          </cell>
          <cell r="M314">
            <v>361399</v>
          </cell>
          <cell r="N314">
            <v>361399</v>
          </cell>
          <cell r="O314">
            <v>0.21076704694810999</v>
          </cell>
        </row>
        <row r="315">
          <cell r="A315" t="str">
            <v>September</v>
          </cell>
          <cell r="J315">
            <v>15</v>
          </cell>
          <cell r="M315">
            <v>312</v>
          </cell>
          <cell r="N315">
            <v>299</v>
          </cell>
          <cell r="O315">
            <v>5.0167224080267601E-2</v>
          </cell>
        </row>
        <row r="316">
          <cell r="A316" t="str">
            <v>September</v>
          </cell>
          <cell r="J316">
            <v>0</v>
          </cell>
          <cell r="M316">
            <v>64</v>
          </cell>
          <cell r="N316">
            <v>64</v>
          </cell>
          <cell r="O316">
            <v>0</v>
          </cell>
        </row>
        <row r="317">
          <cell r="A317" t="str">
            <v>September</v>
          </cell>
          <cell r="J317">
            <v>22169</v>
          </cell>
          <cell r="M317">
            <v>164465</v>
          </cell>
          <cell r="N317">
            <v>163974</v>
          </cell>
          <cell r="O317">
            <v>0.13519826313927799</v>
          </cell>
        </row>
        <row r="318">
          <cell r="A318" t="str">
            <v>September</v>
          </cell>
          <cell r="J318">
            <v>3</v>
          </cell>
          <cell r="M318">
            <v>629</v>
          </cell>
          <cell r="N318">
            <v>607</v>
          </cell>
          <cell r="O318">
            <v>4.9423393739703499E-3</v>
          </cell>
        </row>
        <row r="319">
          <cell r="A319" t="str">
            <v>September</v>
          </cell>
          <cell r="J319">
            <v>9</v>
          </cell>
          <cell r="M319">
            <v>667</v>
          </cell>
          <cell r="N319">
            <v>658</v>
          </cell>
          <cell r="O319">
            <v>1.3677811550152E-2</v>
          </cell>
        </row>
        <row r="320">
          <cell r="A320" t="str">
            <v>September</v>
          </cell>
          <cell r="J320">
            <v>0</v>
          </cell>
          <cell r="M320">
            <v>221</v>
          </cell>
          <cell r="N320">
            <v>212</v>
          </cell>
          <cell r="O320">
            <v>0</v>
          </cell>
        </row>
        <row r="321">
          <cell r="A321" t="str">
            <v>September</v>
          </cell>
          <cell r="J321">
            <v>4</v>
          </cell>
          <cell r="M321">
            <v>70</v>
          </cell>
          <cell r="N321">
            <v>70</v>
          </cell>
          <cell r="O321">
            <v>5.7142857142857099E-2</v>
          </cell>
        </row>
        <row r="322">
          <cell r="A322" t="str">
            <v>September</v>
          </cell>
          <cell r="J322">
            <v>5</v>
          </cell>
          <cell r="M322">
            <v>32</v>
          </cell>
          <cell r="N322">
            <v>30</v>
          </cell>
          <cell r="O322">
            <v>0.16666666666666699</v>
          </cell>
        </row>
        <row r="323">
          <cell r="A323" t="str">
            <v>September</v>
          </cell>
          <cell r="J323">
            <v>16</v>
          </cell>
          <cell r="M323">
            <v>488</v>
          </cell>
          <cell r="N323">
            <v>459</v>
          </cell>
          <cell r="O323">
            <v>3.4858387799564301E-2</v>
          </cell>
        </row>
        <row r="324">
          <cell r="A324" t="str">
            <v>September</v>
          </cell>
          <cell r="J324">
            <v>1</v>
          </cell>
          <cell r="M324">
            <v>180</v>
          </cell>
          <cell r="N324">
            <v>180</v>
          </cell>
          <cell r="O324">
            <v>5.5555555555555601E-3</v>
          </cell>
        </row>
        <row r="325">
          <cell r="A325" t="str">
            <v>September</v>
          </cell>
          <cell r="J325">
            <v>6</v>
          </cell>
          <cell r="M325">
            <v>726</v>
          </cell>
          <cell r="N325">
            <v>713</v>
          </cell>
          <cell r="O325">
            <v>8.4151472650771404E-3</v>
          </cell>
        </row>
        <row r="326">
          <cell r="A326" t="str">
            <v>September</v>
          </cell>
          <cell r="J326">
            <v>11</v>
          </cell>
          <cell r="M326">
            <v>1009</v>
          </cell>
          <cell r="N326">
            <v>1003</v>
          </cell>
          <cell r="O326">
            <v>1.09670987038883E-2</v>
          </cell>
        </row>
        <row r="327">
          <cell r="A327" t="str">
            <v>September</v>
          </cell>
          <cell r="J327">
            <v>1</v>
          </cell>
          <cell r="M327">
            <v>14</v>
          </cell>
          <cell r="N327">
            <v>14</v>
          </cell>
          <cell r="O327">
            <v>7.1428571428571397E-2</v>
          </cell>
        </row>
        <row r="328">
          <cell r="A328" t="str">
            <v>September</v>
          </cell>
          <cell r="J328">
            <v>9</v>
          </cell>
          <cell r="M328">
            <v>56</v>
          </cell>
          <cell r="N328">
            <v>48</v>
          </cell>
          <cell r="O328">
            <v>0.1875</v>
          </cell>
        </row>
        <row r="329">
          <cell r="A329" t="str">
            <v>September</v>
          </cell>
          <cell r="J329">
            <v>1</v>
          </cell>
          <cell r="M329">
            <v>16</v>
          </cell>
          <cell r="N329">
            <v>15</v>
          </cell>
          <cell r="O329">
            <v>6.6666666666666693E-2</v>
          </cell>
        </row>
        <row r="330">
          <cell r="A330" t="str">
            <v>September</v>
          </cell>
          <cell r="J330">
            <v>2</v>
          </cell>
          <cell r="M330">
            <v>7</v>
          </cell>
          <cell r="N330">
            <v>7</v>
          </cell>
          <cell r="O330">
            <v>0.28571428571428598</v>
          </cell>
        </row>
        <row r="331">
          <cell r="A331" t="str">
            <v>September</v>
          </cell>
          <cell r="J331">
            <v>2</v>
          </cell>
          <cell r="M331">
            <v>13</v>
          </cell>
          <cell r="N331">
            <v>13</v>
          </cell>
          <cell r="O331">
            <v>0.15384615384615399</v>
          </cell>
        </row>
        <row r="332">
          <cell r="A332" t="str">
            <v>September</v>
          </cell>
          <cell r="J332">
            <v>4</v>
          </cell>
          <cell r="M332">
            <v>48</v>
          </cell>
          <cell r="N332">
            <v>48</v>
          </cell>
          <cell r="O332">
            <v>8.3333333333333301E-2</v>
          </cell>
        </row>
        <row r="333">
          <cell r="A333" t="str">
            <v>September</v>
          </cell>
          <cell r="J333">
            <v>1</v>
          </cell>
          <cell r="M333">
            <v>11</v>
          </cell>
          <cell r="N333">
            <v>10</v>
          </cell>
          <cell r="O333">
            <v>0.1</v>
          </cell>
        </row>
        <row r="334">
          <cell r="A334" t="str">
            <v>September</v>
          </cell>
          <cell r="J334">
            <v>3</v>
          </cell>
          <cell r="M334">
            <v>23</v>
          </cell>
          <cell r="N334">
            <v>21</v>
          </cell>
          <cell r="O334">
            <v>0.14285714285714299</v>
          </cell>
        </row>
        <row r="335">
          <cell r="A335" t="str">
            <v>September</v>
          </cell>
          <cell r="J335">
            <v>7</v>
          </cell>
          <cell r="M335">
            <v>85</v>
          </cell>
          <cell r="N335">
            <v>83</v>
          </cell>
          <cell r="O335">
            <v>8.4337349397590397E-2</v>
          </cell>
        </row>
        <row r="336">
          <cell r="A336" t="str">
            <v>September</v>
          </cell>
          <cell r="J336">
            <v>1</v>
          </cell>
          <cell r="M336">
            <v>6</v>
          </cell>
          <cell r="N336">
            <v>6</v>
          </cell>
          <cell r="O336">
            <v>0.16666666666666699</v>
          </cell>
        </row>
        <row r="337">
          <cell r="A337" t="str">
            <v>September</v>
          </cell>
          <cell r="J337">
            <v>5</v>
          </cell>
          <cell r="M337">
            <v>32</v>
          </cell>
          <cell r="N337">
            <v>26</v>
          </cell>
          <cell r="O337">
            <v>0.19230769230769201</v>
          </cell>
        </row>
        <row r="338">
          <cell r="A338" t="str">
            <v>September</v>
          </cell>
          <cell r="J338">
            <v>0</v>
          </cell>
          <cell r="M338">
            <v>5</v>
          </cell>
          <cell r="N338">
            <v>5</v>
          </cell>
          <cell r="O338">
            <v>0</v>
          </cell>
        </row>
        <row r="339">
          <cell r="A339" t="str">
            <v>September</v>
          </cell>
          <cell r="J339">
            <v>2</v>
          </cell>
          <cell r="M339">
            <v>10</v>
          </cell>
          <cell r="N339">
            <v>8</v>
          </cell>
          <cell r="O339">
            <v>0.25</v>
          </cell>
        </row>
        <row r="340">
          <cell r="A340" t="str">
            <v>September</v>
          </cell>
          <cell r="J340">
            <v>0</v>
          </cell>
          <cell r="M340">
            <v>16</v>
          </cell>
          <cell r="N340">
            <v>15</v>
          </cell>
          <cell r="O340">
            <v>0</v>
          </cell>
        </row>
        <row r="341">
          <cell r="A341" t="str">
            <v>September</v>
          </cell>
          <cell r="J341">
            <v>10</v>
          </cell>
          <cell r="M341">
            <v>70</v>
          </cell>
          <cell r="N341">
            <v>66</v>
          </cell>
          <cell r="O341">
            <v>0.15151515151515199</v>
          </cell>
        </row>
        <row r="342">
          <cell r="A342" t="str">
            <v>September</v>
          </cell>
          <cell r="J342">
            <v>1</v>
          </cell>
          <cell r="M342">
            <v>14</v>
          </cell>
          <cell r="N342">
            <v>14</v>
          </cell>
          <cell r="O342">
            <v>7.1428571428571397E-2</v>
          </cell>
        </row>
        <row r="343">
          <cell r="A343" t="str">
            <v>September</v>
          </cell>
          <cell r="J343">
            <v>11</v>
          </cell>
          <cell r="M343">
            <v>135</v>
          </cell>
          <cell r="N343">
            <v>126</v>
          </cell>
          <cell r="O343">
            <v>8.7301587301587297E-2</v>
          </cell>
        </row>
        <row r="344">
          <cell r="A344" t="str">
            <v>September</v>
          </cell>
          <cell r="J344">
            <v>0</v>
          </cell>
          <cell r="M344">
            <v>7</v>
          </cell>
          <cell r="N344">
            <v>7</v>
          </cell>
          <cell r="O344">
            <v>0</v>
          </cell>
        </row>
        <row r="345">
          <cell r="A345" t="str">
            <v>September</v>
          </cell>
          <cell r="J345">
            <v>1</v>
          </cell>
          <cell r="M345">
            <v>13</v>
          </cell>
          <cell r="N345">
            <v>13</v>
          </cell>
          <cell r="O345">
            <v>7.69230769230769E-2</v>
          </cell>
        </row>
        <row r="346">
          <cell r="A346" t="str">
            <v>September</v>
          </cell>
          <cell r="J346">
            <v>0</v>
          </cell>
          <cell r="M346">
            <v>6</v>
          </cell>
          <cell r="N346">
            <v>6</v>
          </cell>
          <cell r="O346">
            <v>0</v>
          </cell>
        </row>
        <row r="347">
          <cell r="A347" t="str">
            <v>September</v>
          </cell>
          <cell r="J347">
            <v>3</v>
          </cell>
          <cell r="M347">
            <v>38</v>
          </cell>
          <cell r="N347">
            <v>38</v>
          </cell>
          <cell r="O347">
            <v>7.8947368421052599E-2</v>
          </cell>
        </row>
        <row r="348">
          <cell r="A348" t="str">
            <v>September</v>
          </cell>
          <cell r="J348">
            <v>3</v>
          </cell>
          <cell r="M348">
            <v>12</v>
          </cell>
          <cell r="N348">
            <v>9</v>
          </cell>
          <cell r="O348">
            <v>0.33333333333333298</v>
          </cell>
        </row>
        <row r="349">
          <cell r="A349" t="str">
            <v>September</v>
          </cell>
          <cell r="J349">
            <v>11</v>
          </cell>
          <cell r="M349">
            <v>178</v>
          </cell>
          <cell r="N349">
            <v>171</v>
          </cell>
          <cell r="O349">
            <v>6.4327485380116997E-2</v>
          </cell>
        </row>
        <row r="350">
          <cell r="A350" t="str">
            <v>September</v>
          </cell>
          <cell r="J350">
            <v>1</v>
          </cell>
          <cell r="M350">
            <v>14</v>
          </cell>
          <cell r="N350">
            <v>14</v>
          </cell>
          <cell r="O350">
            <v>7.1428571428571397E-2</v>
          </cell>
        </row>
        <row r="351">
          <cell r="A351" t="str">
            <v>September</v>
          </cell>
          <cell r="J351">
            <v>13</v>
          </cell>
          <cell r="M351">
            <v>89</v>
          </cell>
          <cell r="N351">
            <v>82</v>
          </cell>
          <cell r="O351">
            <v>0.15853658536585399</v>
          </cell>
        </row>
        <row r="352">
          <cell r="A352" t="str">
            <v>September</v>
          </cell>
          <cell r="J352">
            <v>1</v>
          </cell>
          <cell r="M352">
            <v>5</v>
          </cell>
          <cell r="N352">
            <v>5</v>
          </cell>
          <cell r="O352">
            <v>0.2</v>
          </cell>
        </row>
        <row r="353">
          <cell r="A353" t="str">
            <v>September</v>
          </cell>
          <cell r="J353">
            <v>0</v>
          </cell>
          <cell r="M353">
            <v>9</v>
          </cell>
          <cell r="N353">
            <v>9</v>
          </cell>
          <cell r="O353">
            <v>0</v>
          </cell>
        </row>
        <row r="354">
          <cell r="A354" t="str">
            <v>September</v>
          </cell>
          <cell r="J354">
            <v>2</v>
          </cell>
          <cell r="M354">
            <v>7</v>
          </cell>
          <cell r="N354">
            <v>7</v>
          </cell>
          <cell r="O354">
            <v>0.28571428571428598</v>
          </cell>
        </row>
        <row r="355">
          <cell r="A355" t="str">
            <v>September</v>
          </cell>
          <cell r="J355">
            <v>1</v>
          </cell>
          <cell r="M355">
            <v>13</v>
          </cell>
          <cell r="N355">
            <v>11</v>
          </cell>
          <cell r="O355">
            <v>9.0909090909090898E-2</v>
          </cell>
        </row>
        <row r="356">
          <cell r="A356" t="str">
            <v>September</v>
          </cell>
          <cell r="J356">
            <v>0</v>
          </cell>
          <cell r="M356">
            <v>15</v>
          </cell>
          <cell r="N356">
            <v>14</v>
          </cell>
          <cell r="O356">
            <v>0</v>
          </cell>
        </row>
        <row r="357">
          <cell r="A357" t="str">
            <v>September</v>
          </cell>
          <cell r="J357">
            <v>2</v>
          </cell>
          <cell r="M357">
            <v>35</v>
          </cell>
          <cell r="N357">
            <v>33</v>
          </cell>
          <cell r="O357">
            <v>6.0606060606060601E-2</v>
          </cell>
        </row>
        <row r="358">
          <cell r="A358" t="str">
            <v>September</v>
          </cell>
          <cell r="J358">
            <v>3</v>
          </cell>
          <cell r="M358">
            <v>10</v>
          </cell>
          <cell r="N358">
            <v>9</v>
          </cell>
          <cell r="O358">
            <v>0.33333333333333298</v>
          </cell>
        </row>
        <row r="359">
          <cell r="A359" t="str">
            <v>September</v>
          </cell>
          <cell r="J359">
            <v>2</v>
          </cell>
          <cell r="M359">
            <v>12</v>
          </cell>
          <cell r="N359">
            <v>12</v>
          </cell>
          <cell r="O359">
            <v>0.16666666666666699</v>
          </cell>
        </row>
        <row r="360">
          <cell r="A360" t="str">
            <v>September</v>
          </cell>
          <cell r="J360">
            <v>1</v>
          </cell>
          <cell r="M360">
            <v>9</v>
          </cell>
          <cell r="N360">
            <v>9</v>
          </cell>
          <cell r="O360">
            <v>0.11111111111111099</v>
          </cell>
        </row>
        <row r="361">
          <cell r="A361" t="str">
            <v>September</v>
          </cell>
          <cell r="J361">
            <v>0</v>
          </cell>
          <cell r="M361">
            <v>7</v>
          </cell>
          <cell r="N361">
            <v>5</v>
          </cell>
          <cell r="O361">
            <v>0</v>
          </cell>
        </row>
        <row r="362">
          <cell r="A362" t="str">
            <v>September</v>
          </cell>
          <cell r="J362">
            <v>0</v>
          </cell>
          <cell r="M362">
            <v>14</v>
          </cell>
          <cell r="N362">
            <v>14</v>
          </cell>
          <cell r="O362">
            <v>0</v>
          </cell>
        </row>
        <row r="363">
          <cell r="A363" t="str">
            <v>September</v>
          </cell>
          <cell r="J363">
            <v>1</v>
          </cell>
          <cell r="M363">
            <v>60</v>
          </cell>
          <cell r="N363">
            <v>56</v>
          </cell>
          <cell r="O363">
            <v>1.7857142857142901E-2</v>
          </cell>
        </row>
        <row r="364">
          <cell r="A364" t="str">
            <v>September</v>
          </cell>
          <cell r="J364">
            <v>7</v>
          </cell>
          <cell r="M364">
            <v>116</v>
          </cell>
          <cell r="N364">
            <v>113</v>
          </cell>
          <cell r="O364">
            <v>6.1946902654867297E-2</v>
          </cell>
        </row>
        <row r="365">
          <cell r="A365" t="str">
            <v>September</v>
          </cell>
          <cell r="J365">
            <v>0</v>
          </cell>
          <cell r="M365">
            <v>9</v>
          </cell>
          <cell r="N365">
            <v>9</v>
          </cell>
          <cell r="O365">
            <v>0</v>
          </cell>
        </row>
        <row r="366">
          <cell r="A366" t="str">
            <v>September</v>
          </cell>
          <cell r="J366">
            <v>14</v>
          </cell>
          <cell r="M366">
            <v>103</v>
          </cell>
          <cell r="N366">
            <v>95</v>
          </cell>
          <cell r="O366">
            <v>0.14736842105263201</v>
          </cell>
        </row>
        <row r="367">
          <cell r="A367" t="str">
            <v>September</v>
          </cell>
          <cell r="J367">
            <v>0</v>
          </cell>
          <cell r="M367">
            <v>13</v>
          </cell>
          <cell r="N367">
            <v>13</v>
          </cell>
          <cell r="O367">
            <v>0</v>
          </cell>
        </row>
        <row r="368">
          <cell r="A368" t="str">
            <v>September</v>
          </cell>
          <cell r="J368">
            <v>1</v>
          </cell>
          <cell r="M368">
            <v>12</v>
          </cell>
          <cell r="N368">
            <v>10</v>
          </cell>
          <cell r="O368">
            <v>0.1</v>
          </cell>
        </row>
        <row r="369">
          <cell r="A369" t="str">
            <v>September</v>
          </cell>
          <cell r="J369">
            <v>0</v>
          </cell>
          <cell r="M369">
            <v>13</v>
          </cell>
          <cell r="N369">
            <v>13</v>
          </cell>
          <cell r="O369">
            <v>0</v>
          </cell>
        </row>
        <row r="370">
          <cell r="A370" t="str">
            <v>September</v>
          </cell>
          <cell r="J370">
            <v>15</v>
          </cell>
          <cell r="M370">
            <v>112</v>
          </cell>
          <cell r="N370">
            <v>94</v>
          </cell>
          <cell r="O370">
            <v>0.159574468085106</v>
          </cell>
        </row>
        <row r="371">
          <cell r="A371" t="str">
            <v>September</v>
          </cell>
          <cell r="J371">
            <v>1</v>
          </cell>
          <cell r="M371">
            <v>12</v>
          </cell>
          <cell r="N371">
            <v>10</v>
          </cell>
          <cell r="O371">
            <v>0.1</v>
          </cell>
        </row>
        <row r="372">
          <cell r="A372" t="str">
            <v>September</v>
          </cell>
          <cell r="J372">
            <v>1</v>
          </cell>
          <cell r="M372">
            <v>20</v>
          </cell>
          <cell r="N372">
            <v>18</v>
          </cell>
          <cell r="O372">
            <v>5.5555555555555601E-2</v>
          </cell>
        </row>
        <row r="373">
          <cell r="A373" t="str">
            <v>September</v>
          </cell>
          <cell r="J373">
            <v>8</v>
          </cell>
          <cell r="M373">
            <v>128</v>
          </cell>
          <cell r="N373">
            <v>122</v>
          </cell>
          <cell r="O373">
            <v>6.5573770491803296E-2</v>
          </cell>
        </row>
        <row r="374">
          <cell r="A374" t="str">
            <v>September</v>
          </cell>
          <cell r="J374">
            <v>2</v>
          </cell>
          <cell r="M374">
            <v>10</v>
          </cell>
          <cell r="N374">
            <v>10</v>
          </cell>
          <cell r="O374">
            <v>0.2</v>
          </cell>
        </row>
        <row r="375">
          <cell r="A375" t="str">
            <v>September</v>
          </cell>
          <cell r="J375">
            <v>2</v>
          </cell>
          <cell r="M375">
            <v>10</v>
          </cell>
          <cell r="N375">
            <v>9</v>
          </cell>
          <cell r="O375">
            <v>0.22222222222222199</v>
          </cell>
        </row>
        <row r="376">
          <cell r="A376" t="str">
            <v>September</v>
          </cell>
          <cell r="J376">
            <v>1</v>
          </cell>
          <cell r="M376">
            <v>17</v>
          </cell>
          <cell r="N376">
            <v>14</v>
          </cell>
          <cell r="O376">
            <v>7.1428571428571397E-2</v>
          </cell>
        </row>
        <row r="377">
          <cell r="A377" t="str">
            <v>September</v>
          </cell>
          <cell r="J377">
            <v>1</v>
          </cell>
          <cell r="M377">
            <v>41</v>
          </cell>
          <cell r="N377">
            <v>37</v>
          </cell>
          <cell r="O377">
            <v>2.7027027027027001E-2</v>
          </cell>
        </row>
        <row r="378">
          <cell r="A378" t="str">
            <v>September</v>
          </cell>
          <cell r="J378">
            <v>2</v>
          </cell>
          <cell r="M378">
            <v>12</v>
          </cell>
          <cell r="N378">
            <v>11</v>
          </cell>
          <cell r="O378">
            <v>0.18181818181818199</v>
          </cell>
        </row>
        <row r="379">
          <cell r="A379" t="str">
            <v>September</v>
          </cell>
          <cell r="J379">
            <v>10</v>
          </cell>
          <cell r="M379">
            <v>99</v>
          </cell>
          <cell r="N379">
            <v>87</v>
          </cell>
          <cell r="O379">
            <v>0.114942528735632</v>
          </cell>
        </row>
        <row r="380">
          <cell r="A380" t="str">
            <v>September</v>
          </cell>
          <cell r="J380">
            <v>10</v>
          </cell>
          <cell r="M380">
            <v>159</v>
          </cell>
          <cell r="N380">
            <v>147</v>
          </cell>
          <cell r="O380">
            <v>6.8027210884353803E-2</v>
          </cell>
        </row>
        <row r="381">
          <cell r="A381" t="str">
            <v>September</v>
          </cell>
          <cell r="J381">
            <v>2</v>
          </cell>
          <cell r="M381">
            <v>11</v>
          </cell>
          <cell r="N381">
            <v>11</v>
          </cell>
          <cell r="O381">
            <v>0.18181818181818199</v>
          </cell>
        </row>
        <row r="382">
          <cell r="A382" t="str">
            <v>September</v>
          </cell>
          <cell r="J382">
            <v>1</v>
          </cell>
          <cell r="M382">
            <v>11</v>
          </cell>
          <cell r="N382">
            <v>10</v>
          </cell>
          <cell r="O382">
            <v>0.1</v>
          </cell>
        </row>
        <row r="383">
          <cell r="A383" t="str">
            <v>September</v>
          </cell>
          <cell r="J383">
            <v>4</v>
          </cell>
          <cell r="M383">
            <v>67</v>
          </cell>
          <cell r="N383">
            <v>64</v>
          </cell>
          <cell r="O383">
            <v>6.25E-2</v>
          </cell>
        </row>
        <row r="384">
          <cell r="A384" t="str">
            <v>October</v>
          </cell>
          <cell r="J384">
            <v>5</v>
          </cell>
          <cell r="M384">
            <v>14</v>
          </cell>
          <cell r="N384">
            <v>14</v>
          </cell>
          <cell r="O384">
            <v>0.35714285714285698</v>
          </cell>
        </row>
        <row r="385">
          <cell r="A385" t="str">
            <v>October</v>
          </cell>
          <cell r="J385">
            <v>0</v>
          </cell>
          <cell r="M385">
            <v>162</v>
          </cell>
          <cell r="N385">
            <v>161</v>
          </cell>
          <cell r="O385">
            <v>0</v>
          </cell>
        </row>
        <row r="386">
          <cell r="A386" t="str">
            <v>October</v>
          </cell>
          <cell r="J386">
            <v>0</v>
          </cell>
          <cell r="M386">
            <v>63</v>
          </cell>
          <cell r="N386">
            <v>63</v>
          </cell>
          <cell r="O386">
            <v>0</v>
          </cell>
        </row>
        <row r="387">
          <cell r="A387" t="str">
            <v>October</v>
          </cell>
          <cell r="J387">
            <v>3</v>
          </cell>
          <cell r="M387">
            <v>31</v>
          </cell>
          <cell r="N387">
            <v>30</v>
          </cell>
          <cell r="O387">
            <v>0.1</v>
          </cell>
        </row>
        <row r="388">
          <cell r="A388" t="str">
            <v>October</v>
          </cell>
          <cell r="J388">
            <v>4</v>
          </cell>
          <cell r="M388">
            <v>20</v>
          </cell>
          <cell r="N388">
            <v>20</v>
          </cell>
          <cell r="O388">
            <v>0.2</v>
          </cell>
        </row>
        <row r="389">
          <cell r="A389" t="str">
            <v>October</v>
          </cell>
          <cell r="J389">
            <v>0</v>
          </cell>
          <cell r="M389">
            <v>27</v>
          </cell>
          <cell r="N389">
            <v>27</v>
          </cell>
          <cell r="O389">
            <v>0</v>
          </cell>
        </row>
        <row r="390">
          <cell r="A390" t="str">
            <v>October</v>
          </cell>
          <cell r="J390">
            <v>2</v>
          </cell>
          <cell r="M390">
            <v>34</v>
          </cell>
          <cell r="N390">
            <v>34</v>
          </cell>
          <cell r="O390">
            <v>5.8823529411764698E-2</v>
          </cell>
        </row>
        <row r="391">
          <cell r="A391" t="str">
            <v>October</v>
          </cell>
          <cell r="J391">
            <v>3</v>
          </cell>
          <cell r="M391">
            <v>185</v>
          </cell>
          <cell r="N391">
            <v>182</v>
          </cell>
          <cell r="O391">
            <v>1.6483516483516501E-2</v>
          </cell>
        </row>
        <row r="392">
          <cell r="A392" t="str">
            <v>October</v>
          </cell>
          <cell r="J392">
            <v>4</v>
          </cell>
          <cell r="M392">
            <v>55</v>
          </cell>
          <cell r="N392">
            <v>54</v>
          </cell>
          <cell r="O392">
            <v>7.4074074074074098E-2</v>
          </cell>
        </row>
        <row r="393">
          <cell r="A393" t="str">
            <v>October</v>
          </cell>
          <cell r="J393">
            <v>1</v>
          </cell>
          <cell r="M393">
            <v>20</v>
          </cell>
          <cell r="N393">
            <v>20</v>
          </cell>
          <cell r="O393">
            <v>0.05</v>
          </cell>
        </row>
        <row r="394">
          <cell r="A394" t="str">
            <v>October</v>
          </cell>
          <cell r="J394">
            <v>2</v>
          </cell>
          <cell r="M394">
            <v>518</v>
          </cell>
          <cell r="N394">
            <v>511</v>
          </cell>
          <cell r="O394">
            <v>3.9138943248532296E-3</v>
          </cell>
        </row>
        <row r="395">
          <cell r="A395" t="str">
            <v>October</v>
          </cell>
          <cell r="J395">
            <v>3</v>
          </cell>
          <cell r="M395">
            <v>507</v>
          </cell>
          <cell r="N395">
            <v>507</v>
          </cell>
          <cell r="O395">
            <v>5.9171597633136102E-3</v>
          </cell>
        </row>
        <row r="396">
          <cell r="A396" t="str">
            <v>October</v>
          </cell>
          <cell r="J396">
            <v>0</v>
          </cell>
          <cell r="M396">
            <v>154</v>
          </cell>
          <cell r="N396">
            <v>151</v>
          </cell>
          <cell r="O396">
            <v>0</v>
          </cell>
        </row>
        <row r="397">
          <cell r="A397" t="str">
            <v>October</v>
          </cell>
          <cell r="J397">
            <v>0</v>
          </cell>
          <cell r="M397">
            <v>68</v>
          </cell>
          <cell r="N397">
            <v>66</v>
          </cell>
          <cell r="O397">
            <v>0</v>
          </cell>
        </row>
        <row r="398">
          <cell r="A398" t="str">
            <v>October</v>
          </cell>
          <cell r="J398">
            <v>4</v>
          </cell>
          <cell r="M398">
            <v>26</v>
          </cell>
          <cell r="N398">
            <v>26</v>
          </cell>
          <cell r="O398">
            <v>0.15384615384615399</v>
          </cell>
        </row>
        <row r="399">
          <cell r="A399" t="str">
            <v>October</v>
          </cell>
          <cell r="J399">
            <v>6</v>
          </cell>
          <cell r="M399">
            <v>17</v>
          </cell>
          <cell r="N399">
            <v>16</v>
          </cell>
          <cell r="O399">
            <v>0.375</v>
          </cell>
        </row>
        <row r="400">
          <cell r="A400" t="str">
            <v>October</v>
          </cell>
          <cell r="J400">
            <v>1</v>
          </cell>
          <cell r="M400">
            <v>33</v>
          </cell>
          <cell r="N400">
            <v>33</v>
          </cell>
          <cell r="O400">
            <v>3.03030303030303E-2</v>
          </cell>
        </row>
        <row r="401">
          <cell r="A401" t="str">
            <v>October</v>
          </cell>
          <cell r="J401">
            <v>1</v>
          </cell>
          <cell r="M401">
            <v>34</v>
          </cell>
          <cell r="N401">
            <v>32</v>
          </cell>
          <cell r="O401">
            <v>3.125E-2</v>
          </cell>
        </row>
        <row r="402">
          <cell r="A402" t="str">
            <v>October</v>
          </cell>
          <cell r="J402">
            <v>5</v>
          </cell>
          <cell r="M402">
            <v>218</v>
          </cell>
          <cell r="N402">
            <v>217</v>
          </cell>
          <cell r="O402">
            <v>2.3041474654377898E-2</v>
          </cell>
        </row>
        <row r="403">
          <cell r="A403" t="str">
            <v>October</v>
          </cell>
          <cell r="J403">
            <v>3</v>
          </cell>
          <cell r="M403">
            <v>56</v>
          </cell>
          <cell r="N403">
            <v>56</v>
          </cell>
          <cell r="O403">
            <v>5.3571428571428603E-2</v>
          </cell>
        </row>
        <row r="404">
          <cell r="A404" t="str">
            <v>October</v>
          </cell>
          <cell r="J404">
            <v>4</v>
          </cell>
          <cell r="M404">
            <v>22</v>
          </cell>
          <cell r="N404">
            <v>22</v>
          </cell>
          <cell r="O404">
            <v>0.18181818181818199</v>
          </cell>
        </row>
        <row r="405">
          <cell r="A405" t="str">
            <v>October</v>
          </cell>
          <cell r="J405">
            <v>3</v>
          </cell>
          <cell r="M405">
            <v>553</v>
          </cell>
          <cell r="N405">
            <v>531</v>
          </cell>
          <cell r="O405">
            <v>5.6497175141242903E-3</v>
          </cell>
        </row>
        <row r="406">
          <cell r="A406" t="str">
            <v>October</v>
          </cell>
          <cell r="J406">
            <v>3</v>
          </cell>
          <cell r="M406">
            <v>572</v>
          </cell>
          <cell r="N406">
            <v>572</v>
          </cell>
          <cell r="O406">
            <v>5.2447552447552502E-3</v>
          </cell>
        </row>
        <row r="407">
          <cell r="A407" t="str">
            <v>October</v>
          </cell>
          <cell r="J407">
            <v>7</v>
          </cell>
          <cell r="M407">
            <v>342</v>
          </cell>
          <cell r="N407">
            <v>342</v>
          </cell>
          <cell r="O407">
            <v>2.0467836257309899E-2</v>
          </cell>
        </row>
        <row r="408">
          <cell r="A408" t="str">
            <v>October</v>
          </cell>
          <cell r="J408">
            <v>1</v>
          </cell>
          <cell r="M408">
            <v>69</v>
          </cell>
          <cell r="N408">
            <v>69</v>
          </cell>
          <cell r="O408">
            <v>1.4492753623188401E-2</v>
          </cell>
        </row>
        <row r="409">
          <cell r="A409" t="str">
            <v>October</v>
          </cell>
          <cell r="J409">
            <v>0</v>
          </cell>
          <cell r="M409">
            <v>47</v>
          </cell>
          <cell r="N409">
            <v>44</v>
          </cell>
          <cell r="O409">
            <v>0</v>
          </cell>
        </row>
        <row r="410">
          <cell r="A410" t="str">
            <v>October</v>
          </cell>
          <cell r="J410">
            <v>6</v>
          </cell>
          <cell r="M410">
            <v>18</v>
          </cell>
          <cell r="N410">
            <v>17</v>
          </cell>
          <cell r="O410">
            <v>0.35294117647058798</v>
          </cell>
        </row>
        <row r="411">
          <cell r="A411" t="str">
            <v>October</v>
          </cell>
          <cell r="J411">
            <v>0</v>
          </cell>
          <cell r="M411">
            <v>31</v>
          </cell>
          <cell r="N411">
            <v>31</v>
          </cell>
          <cell r="O411">
            <v>0</v>
          </cell>
        </row>
        <row r="412">
          <cell r="A412" t="str">
            <v>October</v>
          </cell>
          <cell r="J412">
            <v>0</v>
          </cell>
          <cell r="M412">
            <v>48</v>
          </cell>
          <cell r="N412">
            <v>41</v>
          </cell>
          <cell r="O412">
            <v>0</v>
          </cell>
        </row>
        <row r="413">
          <cell r="A413" t="str">
            <v>October</v>
          </cell>
          <cell r="J413">
            <v>3</v>
          </cell>
          <cell r="M413">
            <v>76</v>
          </cell>
          <cell r="N413">
            <v>76</v>
          </cell>
          <cell r="O413">
            <v>3.94736842105263E-2</v>
          </cell>
        </row>
        <row r="414">
          <cell r="A414" t="str">
            <v>October</v>
          </cell>
          <cell r="J414">
            <v>2</v>
          </cell>
          <cell r="M414">
            <v>23</v>
          </cell>
          <cell r="N414">
            <v>21</v>
          </cell>
          <cell r="O414">
            <v>9.5238095238095205E-2</v>
          </cell>
        </row>
        <row r="415">
          <cell r="A415" t="str">
            <v>October</v>
          </cell>
          <cell r="J415">
            <v>4</v>
          </cell>
          <cell r="M415">
            <v>476</v>
          </cell>
          <cell r="N415">
            <v>471</v>
          </cell>
          <cell r="O415">
            <v>8.4925690021231404E-3</v>
          </cell>
        </row>
        <row r="416">
          <cell r="A416" t="str">
            <v>October</v>
          </cell>
          <cell r="J416">
            <v>9</v>
          </cell>
          <cell r="M416">
            <v>776</v>
          </cell>
          <cell r="N416">
            <v>776</v>
          </cell>
          <cell r="O416">
            <v>1.1597938144329901E-2</v>
          </cell>
        </row>
        <row r="417">
          <cell r="A417" t="str">
            <v>October</v>
          </cell>
          <cell r="J417">
            <v>7</v>
          </cell>
          <cell r="M417">
            <v>13</v>
          </cell>
          <cell r="N417">
            <v>13</v>
          </cell>
          <cell r="O417">
            <v>0.53846153846153799</v>
          </cell>
        </row>
        <row r="418">
          <cell r="A418" t="str">
            <v>October</v>
          </cell>
          <cell r="J418">
            <v>1</v>
          </cell>
          <cell r="M418">
            <v>175</v>
          </cell>
          <cell r="N418">
            <v>167</v>
          </cell>
          <cell r="O418">
            <v>5.9880239520958096E-3</v>
          </cell>
        </row>
        <row r="419">
          <cell r="A419" t="str">
            <v>October</v>
          </cell>
          <cell r="J419">
            <v>0</v>
          </cell>
          <cell r="M419">
            <v>66</v>
          </cell>
          <cell r="N419">
            <v>65</v>
          </cell>
          <cell r="O419">
            <v>0</v>
          </cell>
        </row>
        <row r="420">
          <cell r="A420" t="str">
            <v>October</v>
          </cell>
          <cell r="J420">
            <v>3</v>
          </cell>
          <cell r="M420">
            <v>70</v>
          </cell>
          <cell r="N420">
            <v>65</v>
          </cell>
          <cell r="O420">
            <v>4.6153846153846198E-2</v>
          </cell>
        </row>
        <row r="421">
          <cell r="A421" t="str">
            <v>October</v>
          </cell>
          <cell r="J421">
            <v>5</v>
          </cell>
          <cell r="M421">
            <v>20</v>
          </cell>
          <cell r="N421">
            <v>17</v>
          </cell>
          <cell r="O421">
            <v>0.29411764705882398</v>
          </cell>
        </row>
        <row r="422">
          <cell r="A422" t="str">
            <v>October</v>
          </cell>
          <cell r="J422">
            <v>0</v>
          </cell>
          <cell r="M422">
            <v>47</v>
          </cell>
          <cell r="N422">
            <v>44</v>
          </cell>
          <cell r="O422">
            <v>0</v>
          </cell>
        </row>
        <row r="423">
          <cell r="A423" t="str">
            <v>October</v>
          </cell>
          <cell r="J423">
            <v>0</v>
          </cell>
          <cell r="M423">
            <v>67</v>
          </cell>
          <cell r="N423">
            <v>51</v>
          </cell>
          <cell r="O423">
            <v>0</v>
          </cell>
        </row>
        <row r="424">
          <cell r="A424" t="str">
            <v>October</v>
          </cell>
          <cell r="J424">
            <v>4</v>
          </cell>
          <cell r="M424">
            <v>85</v>
          </cell>
          <cell r="N424">
            <v>84</v>
          </cell>
          <cell r="O424">
            <v>4.7619047619047603E-2</v>
          </cell>
        </row>
        <row r="425">
          <cell r="A425" t="str">
            <v>October</v>
          </cell>
          <cell r="J425">
            <v>3</v>
          </cell>
          <cell r="M425">
            <v>28</v>
          </cell>
          <cell r="N425">
            <v>25</v>
          </cell>
          <cell r="O425">
            <v>0.12</v>
          </cell>
        </row>
        <row r="426">
          <cell r="A426" t="str">
            <v>October</v>
          </cell>
          <cell r="J426">
            <v>3</v>
          </cell>
          <cell r="M426">
            <v>495</v>
          </cell>
          <cell r="N426">
            <v>490</v>
          </cell>
          <cell r="O426">
            <v>6.1224489795918399E-3</v>
          </cell>
        </row>
        <row r="427">
          <cell r="A427" t="str">
            <v>October</v>
          </cell>
          <cell r="J427">
            <v>2</v>
          </cell>
          <cell r="M427">
            <v>497</v>
          </cell>
          <cell r="N427">
            <v>497</v>
          </cell>
          <cell r="O427">
            <v>4.0241448692152904E-3</v>
          </cell>
        </row>
        <row r="428">
          <cell r="A428" t="str">
            <v>October</v>
          </cell>
          <cell r="J428">
            <v>9</v>
          </cell>
          <cell r="M428">
            <v>298</v>
          </cell>
          <cell r="N428">
            <v>293</v>
          </cell>
          <cell r="O428">
            <v>3.0716723549488099E-2</v>
          </cell>
        </row>
        <row r="429">
          <cell r="A429" t="str">
            <v>October</v>
          </cell>
          <cell r="J429">
            <v>5</v>
          </cell>
          <cell r="M429">
            <v>217</v>
          </cell>
          <cell r="N429">
            <v>208</v>
          </cell>
          <cell r="O429">
            <v>2.4038461538461502E-2</v>
          </cell>
        </row>
        <row r="430">
          <cell r="A430" t="str">
            <v>October</v>
          </cell>
          <cell r="J430">
            <v>8</v>
          </cell>
          <cell r="M430">
            <v>424</v>
          </cell>
          <cell r="N430">
            <v>418</v>
          </cell>
          <cell r="O430">
            <v>1.9138755980861202E-2</v>
          </cell>
        </row>
        <row r="431">
          <cell r="A431" t="str">
            <v>October</v>
          </cell>
          <cell r="J431">
            <v>2</v>
          </cell>
          <cell r="M431">
            <v>183</v>
          </cell>
          <cell r="N431">
            <v>173</v>
          </cell>
          <cell r="O431">
            <v>1.15606936416185E-2</v>
          </cell>
        </row>
        <row r="432">
          <cell r="A432" t="str">
            <v>October</v>
          </cell>
          <cell r="J432">
            <v>0</v>
          </cell>
          <cell r="M432">
            <v>76</v>
          </cell>
          <cell r="N432">
            <v>76</v>
          </cell>
          <cell r="O432">
            <v>0</v>
          </cell>
        </row>
        <row r="433">
          <cell r="A433" t="str">
            <v>October</v>
          </cell>
          <cell r="J433">
            <v>1</v>
          </cell>
          <cell r="M433">
            <v>39</v>
          </cell>
          <cell r="N433">
            <v>34</v>
          </cell>
          <cell r="O433">
            <v>2.9411764705882401E-2</v>
          </cell>
        </row>
        <row r="434">
          <cell r="A434" t="str">
            <v>October</v>
          </cell>
          <cell r="J434">
            <v>3</v>
          </cell>
          <cell r="M434">
            <v>19</v>
          </cell>
          <cell r="N434">
            <v>17</v>
          </cell>
          <cell r="O434">
            <v>0.17647058823529399</v>
          </cell>
        </row>
        <row r="435">
          <cell r="A435" t="str">
            <v>October</v>
          </cell>
          <cell r="J435">
            <v>0</v>
          </cell>
          <cell r="M435">
            <v>28</v>
          </cell>
          <cell r="N435">
            <v>28</v>
          </cell>
          <cell r="O435">
            <v>0</v>
          </cell>
        </row>
        <row r="436">
          <cell r="A436" t="str">
            <v>October</v>
          </cell>
          <cell r="J436">
            <v>1</v>
          </cell>
          <cell r="M436">
            <v>62</v>
          </cell>
          <cell r="N436">
            <v>44</v>
          </cell>
          <cell r="O436">
            <v>2.27272727272727E-2</v>
          </cell>
        </row>
        <row r="437">
          <cell r="A437" t="str">
            <v>October</v>
          </cell>
          <cell r="J437">
            <v>6</v>
          </cell>
          <cell r="M437">
            <v>285</v>
          </cell>
          <cell r="N437">
            <v>275</v>
          </cell>
          <cell r="O437">
            <v>2.1818181818181799E-2</v>
          </cell>
        </row>
        <row r="438">
          <cell r="A438" t="str">
            <v>October</v>
          </cell>
          <cell r="J438">
            <v>3</v>
          </cell>
          <cell r="M438">
            <v>172</v>
          </cell>
          <cell r="N438">
            <v>172</v>
          </cell>
          <cell r="O438">
            <v>1.74418604651163E-2</v>
          </cell>
        </row>
        <row r="439">
          <cell r="A439" t="str">
            <v>October</v>
          </cell>
          <cell r="J439">
            <v>3</v>
          </cell>
          <cell r="M439">
            <v>35</v>
          </cell>
          <cell r="N439">
            <v>32</v>
          </cell>
          <cell r="O439">
            <v>9.375E-2</v>
          </cell>
        </row>
        <row r="440">
          <cell r="A440" t="str">
            <v>October</v>
          </cell>
          <cell r="J440">
            <v>2</v>
          </cell>
          <cell r="M440">
            <v>404</v>
          </cell>
          <cell r="N440">
            <v>403</v>
          </cell>
          <cell r="O440">
            <v>4.96277915632754E-3</v>
          </cell>
        </row>
        <row r="441">
          <cell r="A441" t="str">
            <v>October</v>
          </cell>
          <cell r="J441">
            <v>2</v>
          </cell>
          <cell r="M441">
            <v>670</v>
          </cell>
          <cell r="N441">
            <v>670</v>
          </cell>
          <cell r="O441">
            <v>2.9850746268656699E-3</v>
          </cell>
        </row>
        <row r="442">
          <cell r="A442" t="str">
            <v>October</v>
          </cell>
          <cell r="J442">
            <v>1</v>
          </cell>
          <cell r="M442">
            <v>12</v>
          </cell>
          <cell r="N442">
            <v>10</v>
          </cell>
          <cell r="O442">
            <v>0.1</v>
          </cell>
        </row>
        <row r="443">
          <cell r="A443" t="str">
            <v>October</v>
          </cell>
          <cell r="J443">
            <v>13</v>
          </cell>
          <cell r="M443">
            <v>274</v>
          </cell>
          <cell r="N443">
            <v>262</v>
          </cell>
          <cell r="O443">
            <v>4.9618320610687001E-2</v>
          </cell>
        </row>
        <row r="444">
          <cell r="A444" t="str">
            <v>October</v>
          </cell>
          <cell r="J444">
            <v>0</v>
          </cell>
          <cell r="M444">
            <v>202</v>
          </cell>
          <cell r="N444">
            <v>193</v>
          </cell>
          <cell r="O444">
            <v>0</v>
          </cell>
        </row>
        <row r="445">
          <cell r="A445" t="str">
            <v>October</v>
          </cell>
          <cell r="J445">
            <v>0</v>
          </cell>
          <cell r="M445">
            <v>68</v>
          </cell>
          <cell r="N445">
            <v>50</v>
          </cell>
          <cell r="O445">
            <v>0</v>
          </cell>
        </row>
        <row r="446">
          <cell r="A446" t="str">
            <v>October</v>
          </cell>
          <cell r="J446">
            <v>7</v>
          </cell>
          <cell r="M446">
            <v>28</v>
          </cell>
          <cell r="N446">
            <v>25</v>
          </cell>
          <cell r="O446">
            <v>0.28000000000000003</v>
          </cell>
        </row>
        <row r="447">
          <cell r="A447" t="str">
            <v>October</v>
          </cell>
          <cell r="J447">
            <v>1</v>
          </cell>
          <cell r="M447">
            <v>51</v>
          </cell>
          <cell r="N447">
            <v>50</v>
          </cell>
          <cell r="O447">
            <v>0.02</v>
          </cell>
        </row>
        <row r="448">
          <cell r="A448" t="str">
            <v>October</v>
          </cell>
          <cell r="J448">
            <v>3</v>
          </cell>
          <cell r="M448">
            <v>144</v>
          </cell>
          <cell r="N448">
            <v>144</v>
          </cell>
          <cell r="O448">
            <v>2.0833333333333301E-2</v>
          </cell>
        </row>
        <row r="449">
          <cell r="A449" t="str">
            <v>October</v>
          </cell>
          <cell r="J449">
            <v>5</v>
          </cell>
          <cell r="M449">
            <v>39</v>
          </cell>
          <cell r="N449">
            <v>35</v>
          </cell>
          <cell r="O449">
            <v>0.14285714285714299</v>
          </cell>
        </row>
        <row r="450">
          <cell r="A450" t="str">
            <v>October</v>
          </cell>
          <cell r="J450">
            <v>6</v>
          </cell>
          <cell r="M450">
            <v>581</v>
          </cell>
          <cell r="N450">
            <v>564</v>
          </cell>
          <cell r="O450">
            <v>1.0638297872340399E-2</v>
          </cell>
        </row>
        <row r="451">
          <cell r="A451" t="str">
            <v>October</v>
          </cell>
          <cell r="J451">
            <v>3</v>
          </cell>
          <cell r="M451">
            <v>187</v>
          </cell>
          <cell r="N451">
            <v>179</v>
          </cell>
          <cell r="O451">
            <v>1.6759776536312901E-2</v>
          </cell>
        </row>
        <row r="452">
          <cell r="A452" t="str">
            <v>October</v>
          </cell>
          <cell r="J452">
            <v>4</v>
          </cell>
          <cell r="M452">
            <v>699</v>
          </cell>
          <cell r="N452">
            <v>699</v>
          </cell>
          <cell r="O452">
            <v>5.72246065808298E-3</v>
          </cell>
        </row>
        <row r="453">
          <cell r="A453" t="str">
            <v>October</v>
          </cell>
          <cell r="J453">
            <v>0</v>
          </cell>
          <cell r="M453">
            <v>81</v>
          </cell>
          <cell r="N453">
            <v>81</v>
          </cell>
          <cell r="O453">
            <v>0</v>
          </cell>
        </row>
        <row r="454">
          <cell r="A454" t="str">
            <v>October</v>
          </cell>
          <cell r="J454">
            <v>8</v>
          </cell>
          <cell r="M454">
            <v>51</v>
          </cell>
          <cell r="N454">
            <v>46</v>
          </cell>
          <cell r="O454">
            <v>0.173913043478261</v>
          </cell>
        </row>
        <row r="455">
          <cell r="A455" t="str">
            <v>October</v>
          </cell>
          <cell r="J455">
            <v>1</v>
          </cell>
          <cell r="M455">
            <v>5</v>
          </cell>
          <cell r="N455">
            <v>5</v>
          </cell>
          <cell r="O455">
            <v>0.2</v>
          </cell>
        </row>
        <row r="456">
          <cell r="A456" t="str">
            <v>October</v>
          </cell>
          <cell r="J456">
            <v>1</v>
          </cell>
          <cell r="M456">
            <v>19</v>
          </cell>
          <cell r="N456">
            <v>18</v>
          </cell>
          <cell r="O456">
            <v>5.5555555555555601E-2</v>
          </cell>
        </row>
        <row r="457">
          <cell r="A457" t="str">
            <v>October</v>
          </cell>
          <cell r="J457">
            <v>20</v>
          </cell>
          <cell r="M457">
            <v>240</v>
          </cell>
          <cell r="N457">
            <v>215</v>
          </cell>
          <cell r="O457">
            <v>9.3023255813953501E-2</v>
          </cell>
        </row>
        <row r="458">
          <cell r="A458" t="str">
            <v>October</v>
          </cell>
          <cell r="J458">
            <v>1</v>
          </cell>
          <cell r="M458">
            <v>5</v>
          </cell>
          <cell r="N458">
            <v>5</v>
          </cell>
          <cell r="O458">
            <v>0.2</v>
          </cell>
        </row>
        <row r="459">
          <cell r="A459" t="str">
            <v>October</v>
          </cell>
          <cell r="J459">
            <v>2</v>
          </cell>
          <cell r="M459">
            <v>18</v>
          </cell>
          <cell r="N459">
            <v>17</v>
          </cell>
          <cell r="O459">
            <v>0.11764705882352899</v>
          </cell>
        </row>
        <row r="460">
          <cell r="A460" t="str">
            <v>October</v>
          </cell>
          <cell r="J460">
            <v>7</v>
          </cell>
          <cell r="M460">
            <v>160</v>
          </cell>
          <cell r="N460">
            <v>157</v>
          </cell>
          <cell r="O460">
            <v>4.4585987261146501E-2</v>
          </cell>
        </row>
        <row r="461">
          <cell r="A461" t="str">
            <v>October</v>
          </cell>
          <cell r="J461">
            <v>2</v>
          </cell>
          <cell r="M461">
            <v>9</v>
          </cell>
          <cell r="N461">
            <v>9</v>
          </cell>
          <cell r="O461">
            <v>0.22222222222222199</v>
          </cell>
        </row>
        <row r="462">
          <cell r="A462" t="str">
            <v>October</v>
          </cell>
          <cell r="J462">
            <v>2</v>
          </cell>
          <cell r="M462">
            <v>9</v>
          </cell>
          <cell r="N462">
            <v>9</v>
          </cell>
          <cell r="O462">
            <v>0.22222222222222199</v>
          </cell>
        </row>
        <row r="463">
          <cell r="A463" t="str">
            <v>October</v>
          </cell>
          <cell r="J463">
            <v>0</v>
          </cell>
          <cell r="M463">
            <v>13</v>
          </cell>
          <cell r="N463">
            <v>11</v>
          </cell>
          <cell r="O463">
            <v>0</v>
          </cell>
        </row>
        <row r="464">
          <cell r="A464" t="str">
            <v>October</v>
          </cell>
          <cell r="J464">
            <v>2</v>
          </cell>
          <cell r="M464">
            <v>42</v>
          </cell>
          <cell r="N464">
            <v>40</v>
          </cell>
          <cell r="O464">
            <v>0.05</v>
          </cell>
        </row>
        <row r="465">
          <cell r="A465" t="str">
            <v>October</v>
          </cell>
          <cell r="J465">
            <v>2</v>
          </cell>
          <cell r="M465">
            <v>7</v>
          </cell>
          <cell r="N465">
            <v>6</v>
          </cell>
          <cell r="O465">
            <v>0.33333333333333298</v>
          </cell>
        </row>
        <row r="466">
          <cell r="A466" t="str">
            <v>October</v>
          </cell>
          <cell r="J466">
            <v>2</v>
          </cell>
          <cell r="M466">
            <v>22</v>
          </cell>
          <cell r="N466">
            <v>21</v>
          </cell>
          <cell r="O466">
            <v>9.5238095238095205E-2</v>
          </cell>
        </row>
        <row r="467">
          <cell r="A467" t="str">
            <v>October</v>
          </cell>
          <cell r="J467">
            <v>21</v>
          </cell>
          <cell r="M467">
            <v>227</v>
          </cell>
          <cell r="N467">
            <v>210</v>
          </cell>
          <cell r="O467">
            <v>0.1</v>
          </cell>
        </row>
        <row r="468">
          <cell r="A468" t="str">
            <v>October</v>
          </cell>
          <cell r="J468">
            <v>1</v>
          </cell>
          <cell r="M468">
            <v>3</v>
          </cell>
          <cell r="N468">
            <v>3</v>
          </cell>
          <cell r="O468">
            <v>0.33333333333333298</v>
          </cell>
        </row>
        <row r="469">
          <cell r="A469" t="str">
            <v>October</v>
          </cell>
          <cell r="J469">
            <v>1</v>
          </cell>
          <cell r="M469">
            <v>22</v>
          </cell>
          <cell r="N469">
            <v>20</v>
          </cell>
          <cell r="O469">
            <v>0.05</v>
          </cell>
        </row>
        <row r="470">
          <cell r="A470" t="str">
            <v>October</v>
          </cell>
          <cell r="J470">
            <v>19</v>
          </cell>
          <cell r="M470">
            <v>239</v>
          </cell>
          <cell r="N470">
            <v>224</v>
          </cell>
          <cell r="O470">
            <v>8.4821428571428603E-2</v>
          </cell>
        </row>
        <row r="471">
          <cell r="A471" t="str">
            <v>October</v>
          </cell>
          <cell r="J471">
            <v>2</v>
          </cell>
          <cell r="M471">
            <v>8</v>
          </cell>
          <cell r="N471">
            <v>7</v>
          </cell>
          <cell r="O471">
            <v>0.28571428571428598</v>
          </cell>
        </row>
        <row r="472">
          <cell r="A472" t="str">
            <v>October</v>
          </cell>
          <cell r="J472">
            <v>2</v>
          </cell>
          <cell r="M472">
            <v>10</v>
          </cell>
          <cell r="N472">
            <v>9</v>
          </cell>
          <cell r="O472">
            <v>0.22222222222222199</v>
          </cell>
        </row>
        <row r="473">
          <cell r="A473" t="str">
            <v>October</v>
          </cell>
          <cell r="J473">
            <v>1</v>
          </cell>
          <cell r="M473">
            <v>12</v>
          </cell>
          <cell r="N473">
            <v>11</v>
          </cell>
          <cell r="O473">
            <v>9.0909090909090898E-2</v>
          </cell>
        </row>
        <row r="474">
          <cell r="A474" t="str">
            <v>October</v>
          </cell>
          <cell r="J474">
            <v>6</v>
          </cell>
          <cell r="M474">
            <v>56</v>
          </cell>
          <cell r="N474">
            <v>54</v>
          </cell>
          <cell r="O474">
            <v>0.11111111111111099</v>
          </cell>
        </row>
        <row r="475">
          <cell r="A475" t="str">
            <v>October</v>
          </cell>
          <cell r="J475">
            <v>11</v>
          </cell>
          <cell r="M475">
            <v>94</v>
          </cell>
          <cell r="N475">
            <v>91</v>
          </cell>
          <cell r="O475">
            <v>0.120879120879121</v>
          </cell>
        </row>
        <row r="476">
          <cell r="A476" t="str">
            <v>October</v>
          </cell>
          <cell r="J476">
            <v>0</v>
          </cell>
          <cell r="M476">
            <v>5</v>
          </cell>
          <cell r="N476">
            <v>4</v>
          </cell>
          <cell r="O476">
            <v>0</v>
          </cell>
        </row>
        <row r="477">
          <cell r="A477" t="str">
            <v>October</v>
          </cell>
          <cell r="J477">
            <v>0</v>
          </cell>
          <cell r="M477">
            <v>6</v>
          </cell>
          <cell r="N477">
            <v>6</v>
          </cell>
          <cell r="O477">
            <v>0</v>
          </cell>
        </row>
        <row r="478">
          <cell r="A478" t="str">
            <v>October</v>
          </cell>
          <cell r="J478">
            <v>13</v>
          </cell>
          <cell r="M478">
            <v>218</v>
          </cell>
          <cell r="N478">
            <v>188</v>
          </cell>
          <cell r="O478">
            <v>6.9148936170212796E-2</v>
          </cell>
        </row>
        <row r="479">
          <cell r="A479" t="str">
            <v>October</v>
          </cell>
          <cell r="J479">
            <v>1</v>
          </cell>
          <cell r="M479">
            <v>4</v>
          </cell>
          <cell r="N479">
            <v>4</v>
          </cell>
          <cell r="O479">
            <v>0.25</v>
          </cell>
        </row>
        <row r="480">
          <cell r="A480" t="str">
            <v>October</v>
          </cell>
          <cell r="J480">
            <v>0</v>
          </cell>
          <cell r="M480">
            <v>15</v>
          </cell>
          <cell r="N480">
            <v>15</v>
          </cell>
          <cell r="O480">
            <v>0</v>
          </cell>
        </row>
        <row r="481">
          <cell r="A481" t="str">
            <v>October</v>
          </cell>
          <cell r="J481">
            <v>2</v>
          </cell>
          <cell r="M481">
            <v>8</v>
          </cell>
          <cell r="N481">
            <v>8</v>
          </cell>
          <cell r="O481">
            <v>0.25</v>
          </cell>
        </row>
        <row r="482">
          <cell r="A482" t="str">
            <v>October</v>
          </cell>
          <cell r="J482">
            <v>1</v>
          </cell>
          <cell r="M482">
            <v>11</v>
          </cell>
          <cell r="N482">
            <v>10</v>
          </cell>
          <cell r="O482">
            <v>0.1</v>
          </cell>
        </row>
        <row r="483">
          <cell r="A483" t="str">
            <v>October</v>
          </cell>
          <cell r="J483">
            <v>0</v>
          </cell>
          <cell r="M483">
            <v>12</v>
          </cell>
          <cell r="N483">
            <v>11</v>
          </cell>
          <cell r="O483">
            <v>0</v>
          </cell>
        </row>
        <row r="484">
          <cell r="A484" t="str">
            <v>October</v>
          </cell>
          <cell r="J484">
            <v>4</v>
          </cell>
          <cell r="M484">
            <v>38</v>
          </cell>
          <cell r="N484">
            <v>37</v>
          </cell>
          <cell r="O484">
            <v>0.108108108108108</v>
          </cell>
        </row>
        <row r="485">
          <cell r="A485" t="str">
            <v>October</v>
          </cell>
          <cell r="J485">
            <v>6</v>
          </cell>
          <cell r="M485">
            <v>44</v>
          </cell>
          <cell r="N485">
            <v>39</v>
          </cell>
          <cell r="O485">
            <v>0.15384615384615399</v>
          </cell>
        </row>
        <row r="486">
          <cell r="A486" t="str">
            <v>October</v>
          </cell>
          <cell r="J486">
            <v>0</v>
          </cell>
          <cell r="M486">
            <v>6</v>
          </cell>
          <cell r="N486">
            <v>6</v>
          </cell>
          <cell r="O486">
            <v>0</v>
          </cell>
        </row>
        <row r="487">
          <cell r="A487" t="str">
            <v>October</v>
          </cell>
          <cell r="J487">
            <v>0</v>
          </cell>
          <cell r="M487">
            <v>14</v>
          </cell>
          <cell r="N487">
            <v>11</v>
          </cell>
          <cell r="O487">
            <v>0</v>
          </cell>
        </row>
        <row r="488">
          <cell r="A488" t="str">
            <v>October</v>
          </cell>
          <cell r="J488">
            <v>16</v>
          </cell>
          <cell r="M488">
            <v>126</v>
          </cell>
          <cell r="N488">
            <v>112</v>
          </cell>
          <cell r="O488">
            <v>0.14285714285714299</v>
          </cell>
        </row>
        <row r="489">
          <cell r="A489" t="str">
            <v>October</v>
          </cell>
          <cell r="J489">
            <v>0</v>
          </cell>
          <cell r="M489">
            <v>4</v>
          </cell>
          <cell r="N489">
            <v>4</v>
          </cell>
          <cell r="O489">
            <v>0</v>
          </cell>
        </row>
        <row r="490">
          <cell r="A490" t="str">
            <v>October</v>
          </cell>
          <cell r="J490">
            <v>1</v>
          </cell>
          <cell r="M490">
            <v>20</v>
          </cell>
          <cell r="N490">
            <v>19</v>
          </cell>
          <cell r="O490">
            <v>5.2631578947368397E-2</v>
          </cell>
        </row>
        <row r="491">
          <cell r="A491" t="str">
            <v>October</v>
          </cell>
          <cell r="J491">
            <v>1</v>
          </cell>
          <cell r="M491">
            <v>8</v>
          </cell>
          <cell r="N491">
            <v>4</v>
          </cell>
          <cell r="O491">
            <v>0.25</v>
          </cell>
        </row>
        <row r="492">
          <cell r="A492" t="str">
            <v>October</v>
          </cell>
          <cell r="J492">
            <v>1</v>
          </cell>
          <cell r="M492">
            <v>9</v>
          </cell>
          <cell r="N492">
            <v>9</v>
          </cell>
          <cell r="O492">
            <v>0.11111111111111099</v>
          </cell>
        </row>
        <row r="493">
          <cell r="A493" t="str">
            <v>October</v>
          </cell>
          <cell r="J493">
            <v>0</v>
          </cell>
          <cell r="M493">
            <v>12</v>
          </cell>
          <cell r="N493">
            <v>8</v>
          </cell>
          <cell r="O493">
            <v>0</v>
          </cell>
        </row>
        <row r="494">
          <cell r="A494" t="str">
            <v>October</v>
          </cell>
          <cell r="J494">
            <v>3</v>
          </cell>
          <cell r="M494">
            <v>42</v>
          </cell>
          <cell r="N494">
            <v>41</v>
          </cell>
          <cell r="O494">
            <v>7.3170731707317097E-2</v>
          </cell>
        </row>
        <row r="495">
          <cell r="A495" t="str">
            <v>October</v>
          </cell>
          <cell r="J495">
            <v>13</v>
          </cell>
          <cell r="M495">
            <v>169</v>
          </cell>
          <cell r="N495">
            <v>157</v>
          </cell>
          <cell r="O495">
            <v>8.2802547770700605E-2</v>
          </cell>
        </row>
        <row r="496">
          <cell r="A496" t="str">
            <v>October</v>
          </cell>
          <cell r="J496">
            <v>0</v>
          </cell>
          <cell r="M496">
            <v>9</v>
          </cell>
          <cell r="N496">
            <v>9</v>
          </cell>
          <cell r="O496">
            <v>0</v>
          </cell>
        </row>
        <row r="497">
          <cell r="A497" t="str">
            <v>October</v>
          </cell>
          <cell r="J497">
            <v>3</v>
          </cell>
          <cell r="M497">
            <v>10</v>
          </cell>
          <cell r="N497">
            <v>9</v>
          </cell>
          <cell r="O497">
            <v>0.33333333333333298</v>
          </cell>
        </row>
        <row r="498">
          <cell r="A498" t="str">
            <v>October</v>
          </cell>
          <cell r="J498">
            <v>0</v>
          </cell>
          <cell r="M498">
            <v>13</v>
          </cell>
          <cell r="N498">
            <v>13</v>
          </cell>
          <cell r="O498">
            <v>0</v>
          </cell>
        </row>
        <row r="499">
          <cell r="A499" t="str">
            <v>October</v>
          </cell>
          <cell r="J499">
            <v>10</v>
          </cell>
          <cell r="M499">
            <v>107</v>
          </cell>
          <cell r="N499">
            <v>92</v>
          </cell>
          <cell r="O499">
            <v>0.108695652173913</v>
          </cell>
        </row>
        <row r="500">
          <cell r="A500" t="str">
            <v>October</v>
          </cell>
          <cell r="J500">
            <v>0</v>
          </cell>
          <cell r="M500">
            <v>5</v>
          </cell>
          <cell r="N500">
            <v>4</v>
          </cell>
          <cell r="O500">
            <v>0</v>
          </cell>
        </row>
        <row r="501">
          <cell r="A501" t="str">
            <v>October</v>
          </cell>
          <cell r="J501">
            <v>0</v>
          </cell>
          <cell r="M501">
            <v>17</v>
          </cell>
          <cell r="N501">
            <v>17</v>
          </cell>
          <cell r="O501">
            <v>0</v>
          </cell>
        </row>
        <row r="502">
          <cell r="A502" t="str">
            <v>October</v>
          </cell>
          <cell r="J502">
            <v>11</v>
          </cell>
          <cell r="M502">
            <v>159</v>
          </cell>
          <cell r="N502">
            <v>149</v>
          </cell>
          <cell r="O502">
            <v>7.3825503355704702E-2</v>
          </cell>
        </row>
        <row r="503">
          <cell r="A503" t="str">
            <v>October</v>
          </cell>
          <cell r="J503">
            <v>1</v>
          </cell>
          <cell r="M503">
            <v>9</v>
          </cell>
          <cell r="N503">
            <v>8</v>
          </cell>
          <cell r="O503">
            <v>0.125</v>
          </cell>
        </row>
        <row r="504">
          <cell r="A504" t="str">
            <v>October</v>
          </cell>
          <cell r="J504">
            <v>1</v>
          </cell>
          <cell r="M504">
            <v>6</v>
          </cell>
          <cell r="N504">
            <v>6</v>
          </cell>
          <cell r="O504">
            <v>0.16666666666666699</v>
          </cell>
        </row>
        <row r="505">
          <cell r="A505" t="str">
            <v>October</v>
          </cell>
          <cell r="J505">
            <v>0</v>
          </cell>
          <cell r="M505">
            <v>8</v>
          </cell>
          <cell r="N505">
            <v>7</v>
          </cell>
          <cell r="O505">
            <v>0</v>
          </cell>
        </row>
        <row r="506">
          <cell r="A506" t="str">
            <v>October</v>
          </cell>
          <cell r="J506">
            <v>3</v>
          </cell>
          <cell r="M506">
            <v>52</v>
          </cell>
          <cell r="N506">
            <v>47</v>
          </cell>
          <cell r="O506">
            <v>6.3829787234042604E-2</v>
          </cell>
        </row>
        <row r="507">
          <cell r="A507" t="str">
            <v>October</v>
          </cell>
          <cell r="J507">
            <v>2</v>
          </cell>
          <cell r="M507">
            <v>29</v>
          </cell>
          <cell r="N507">
            <v>27</v>
          </cell>
          <cell r="O507">
            <v>7.4074074074074098E-2</v>
          </cell>
        </row>
        <row r="508">
          <cell r="A508" t="str">
            <v>October</v>
          </cell>
          <cell r="J508">
            <v>13</v>
          </cell>
          <cell r="M508">
            <v>182</v>
          </cell>
          <cell r="N508">
            <v>173</v>
          </cell>
          <cell r="O508">
            <v>7.5144508670520194E-2</v>
          </cell>
        </row>
        <row r="509">
          <cell r="A509" t="str">
            <v>October</v>
          </cell>
          <cell r="J509">
            <v>1</v>
          </cell>
          <cell r="M509">
            <v>18</v>
          </cell>
          <cell r="N509">
            <v>17</v>
          </cell>
          <cell r="O509">
            <v>5.8823529411764698E-2</v>
          </cell>
        </row>
        <row r="510">
          <cell r="A510" t="str">
            <v>October</v>
          </cell>
          <cell r="J510">
            <v>2</v>
          </cell>
          <cell r="M510">
            <v>22</v>
          </cell>
          <cell r="N510">
            <v>22</v>
          </cell>
          <cell r="O510">
            <v>9.0909090909090898E-2</v>
          </cell>
        </row>
        <row r="511">
          <cell r="A511" t="str">
            <v>October</v>
          </cell>
          <cell r="J511">
            <v>11</v>
          </cell>
          <cell r="M511">
            <v>103</v>
          </cell>
          <cell r="N511">
            <v>92</v>
          </cell>
          <cell r="O511">
            <v>0.119565217391304</v>
          </cell>
        </row>
        <row r="512">
          <cell r="A512" t="str">
            <v>October</v>
          </cell>
          <cell r="J512">
            <v>0</v>
          </cell>
          <cell r="M512">
            <v>9</v>
          </cell>
          <cell r="N512">
            <v>9</v>
          </cell>
          <cell r="O512">
            <v>0</v>
          </cell>
        </row>
        <row r="513">
          <cell r="A513" t="str">
            <v>October</v>
          </cell>
          <cell r="J513">
            <v>2</v>
          </cell>
          <cell r="M513">
            <v>9</v>
          </cell>
          <cell r="N513">
            <v>9</v>
          </cell>
          <cell r="O513">
            <v>0.22222222222222199</v>
          </cell>
        </row>
        <row r="514">
          <cell r="A514" t="str">
            <v>October</v>
          </cell>
          <cell r="J514">
            <v>2</v>
          </cell>
          <cell r="M514">
            <v>16</v>
          </cell>
          <cell r="N514">
            <v>16</v>
          </cell>
          <cell r="O514">
            <v>0.125</v>
          </cell>
        </row>
        <row r="515">
          <cell r="A515" t="str">
            <v>October</v>
          </cell>
          <cell r="J515">
            <v>1</v>
          </cell>
          <cell r="M515">
            <v>12</v>
          </cell>
          <cell r="N515">
            <v>12</v>
          </cell>
          <cell r="O515">
            <v>8.3333333333333301E-2</v>
          </cell>
        </row>
        <row r="516">
          <cell r="A516" t="str">
            <v>October</v>
          </cell>
          <cell r="J516">
            <v>4</v>
          </cell>
          <cell r="M516">
            <v>62</v>
          </cell>
          <cell r="N516">
            <v>57</v>
          </cell>
          <cell r="O516">
            <v>7.0175438596491196E-2</v>
          </cell>
        </row>
        <row r="517">
          <cell r="A517" t="str">
            <v>October</v>
          </cell>
          <cell r="J517">
            <v>2</v>
          </cell>
          <cell r="M517">
            <v>12</v>
          </cell>
          <cell r="N517">
            <v>11</v>
          </cell>
          <cell r="O517">
            <v>0.18181818181818199</v>
          </cell>
        </row>
        <row r="518">
          <cell r="A518" t="str">
            <v>November</v>
          </cell>
          <cell r="J518">
            <v>3</v>
          </cell>
          <cell r="M518">
            <v>126</v>
          </cell>
          <cell r="N518">
            <v>125</v>
          </cell>
          <cell r="O518">
            <v>2.4E-2</v>
          </cell>
        </row>
        <row r="519">
          <cell r="A519" t="str">
            <v>November</v>
          </cell>
          <cell r="J519">
            <v>7</v>
          </cell>
          <cell r="M519">
            <v>46</v>
          </cell>
          <cell r="N519">
            <v>43</v>
          </cell>
          <cell r="O519">
            <v>0.162790697674419</v>
          </cell>
        </row>
        <row r="520">
          <cell r="A520" t="str">
            <v>November</v>
          </cell>
          <cell r="J520">
            <v>0</v>
          </cell>
          <cell r="M520">
            <v>7</v>
          </cell>
          <cell r="N520">
            <v>7</v>
          </cell>
          <cell r="O520">
            <v>0</v>
          </cell>
        </row>
        <row r="521">
          <cell r="A521" t="str">
            <v>November</v>
          </cell>
          <cell r="J521">
            <v>23550</v>
          </cell>
          <cell r="M521">
            <v>87377</v>
          </cell>
          <cell r="N521">
            <v>62705</v>
          </cell>
          <cell r="O521">
            <v>0.37556813651224003</v>
          </cell>
        </row>
        <row r="522">
          <cell r="A522" t="str">
            <v>November</v>
          </cell>
          <cell r="J522">
            <v>2</v>
          </cell>
          <cell r="M522">
            <v>148</v>
          </cell>
          <cell r="N522">
            <v>144</v>
          </cell>
          <cell r="O522">
            <v>1.38888888888889E-2</v>
          </cell>
        </row>
        <row r="523">
          <cell r="A523" t="str">
            <v>November</v>
          </cell>
          <cell r="J523">
            <v>9</v>
          </cell>
          <cell r="M523">
            <v>116</v>
          </cell>
          <cell r="N523">
            <v>109</v>
          </cell>
          <cell r="O523">
            <v>8.2568807339449601E-2</v>
          </cell>
        </row>
        <row r="524">
          <cell r="A524" t="str">
            <v>November</v>
          </cell>
          <cell r="J524">
            <v>3</v>
          </cell>
          <cell r="M524">
            <v>33</v>
          </cell>
          <cell r="N524">
            <v>30</v>
          </cell>
          <cell r="O524">
            <v>0.1</v>
          </cell>
        </row>
        <row r="525">
          <cell r="A525" t="str">
            <v>November</v>
          </cell>
          <cell r="J525">
            <v>1</v>
          </cell>
          <cell r="M525">
            <v>134</v>
          </cell>
          <cell r="N525">
            <v>131</v>
          </cell>
          <cell r="O525">
            <v>7.63358778625954E-3</v>
          </cell>
        </row>
        <row r="526">
          <cell r="A526" t="str">
            <v>November</v>
          </cell>
          <cell r="J526">
            <v>9</v>
          </cell>
          <cell r="M526">
            <v>87</v>
          </cell>
          <cell r="N526">
            <v>78</v>
          </cell>
          <cell r="O526">
            <v>0.115384615384615</v>
          </cell>
        </row>
        <row r="527">
          <cell r="A527" t="str">
            <v>November</v>
          </cell>
          <cell r="J527">
            <v>1</v>
          </cell>
          <cell r="M527">
            <v>65</v>
          </cell>
          <cell r="N527">
            <v>64</v>
          </cell>
          <cell r="O527">
            <v>1.5625E-2</v>
          </cell>
        </row>
        <row r="528">
          <cell r="A528" t="str">
            <v>November</v>
          </cell>
          <cell r="J528">
            <v>1</v>
          </cell>
          <cell r="M528">
            <v>39</v>
          </cell>
          <cell r="N528">
            <v>38</v>
          </cell>
          <cell r="O528">
            <v>2.6315789473684199E-2</v>
          </cell>
        </row>
        <row r="529">
          <cell r="A529" t="str">
            <v>November</v>
          </cell>
          <cell r="J529">
            <v>4</v>
          </cell>
          <cell r="M529">
            <v>20</v>
          </cell>
          <cell r="N529">
            <v>20</v>
          </cell>
          <cell r="O529">
            <v>0.2</v>
          </cell>
        </row>
        <row r="530">
          <cell r="A530" t="str">
            <v>November</v>
          </cell>
          <cell r="J530">
            <v>0</v>
          </cell>
          <cell r="M530">
            <v>29</v>
          </cell>
          <cell r="N530">
            <v>27</v>
          </cell>
          <cell r="O530">
            <v>0</v>
          </cell>
        </row>
        <row r="531">
          <cell r="A531" t="str">
            <v>November</v>
          </cell>
          <cell r="J531">
            <v>3</v>
          </cell>
          <cell r="M531">
            <v>26</v>
          </cell>
          <cell r="N531">
            <v>24</v>
          </cell>
          <cell r="O531">
            <v>0.125</v>
          </cell>
        </row>
        <row r="532">
          <cell r="A532" t="str">
            <v>November</v>
          </cell>
          <cell r="J532">
            <v>4</v>
          </cell>
          <cell r="M532">
            <v>214</v>
          </cell>
          <cell r="N532">
            <v>209</v>
          </cell>
          <cell r="O532">
            <v>1.9138755980861202E-2</v>
          </cell>
        </row>
        <row r="533">
          <cell r="A533" t="str">
            <v>November</v>
          </cell>
          <cell r="J533">
            <v>10</v>
          </cell>
          <cell r="M533">
            <v>61</v>
          </cell>
          <cell r="N533">
            <v>55</v>
          </cell>
          <cell r="O533">
            <v>0.18181818181818199</v>
          </cell>
        </row>
        <row r="534">
          <cell r="A534" t="str">
            <v>November</v>
          </cell>
          <cell r="J534">
            <v>1</v>
          </cell>
          <cell r="M534">
            <v>506</v>
          </cell>
          <cell r="N534">
            <v>489</v>
          </cell>
          <cell r="O534">
            <v>2.0449897750511301E-3</v>
          </cell>
        </row>
        <row r="535">
          <cell r="A535" t="str">
            <v>November</v>
          </cell>
          <cell r="J535">
            <v>6</v>
          </cell>
          <cell r="M535">
            <v>617</v>
          </cell>
          <cell r="N535">
            <v>617</v>
          </cell>
          <cell r="O535">
            <v>9.7244732576985404E-3</v>
          </cell>
        </row>
        <row r="536">
          <cell r="A536" t="str">
            <v>November</v>
          </cell>
          <cell r="J536">
            <v>2</v>
          </cell>
          <cell r="M536">
            <v>27</v>
          </cell>
          <cell r="N536">
            <v>24</v>
          </cell>
          <cell r="O536">
            <v>8.3333333333333301E-2</v>
          </cell>
        </row>
        <row r="537">
          <cell r="A537" t="str">
            <v>November</v>
          </cell>
          <cell r="J537">
            <v>5</v>
          </cell>
          <cell r="M537">
            <v>26</v>
          </cell>
          <cell r="N537">
            <v>24</v>
          </cell>
          <cell r="O537">
            <v>0.20833333333333301</v>
          </cell>
        </row>
        <row r="538">
          <cell r="A538" t="str">
            <v>November</v>
          </cell>
          <cell r="J538">
            <v>3</v>
          </cell>
          <cell r="M538">
            <v>62</v>
          </cell>
          <cell r="N538">
            <v>57</v>
          </cell>
          <cell r="O538">
            <v>5.2631578947368397E-2</v>
          </cell>
        </row>
        <row r="539">
          <cell r="A539" t="str">
            <v>November</v>
          </cell>
          <cell r="J539">
            <v>0</v>
          </cell>
          <cell r="M539">
            <v>142</v>
          </cell>
          <cell r="N539">
            <v>137</v>
          </cell>
          <cell r="O539">
            <v>0</v>
          </cell>
        </row>
        <row r="540">
          <cell r="A540" t="str">
            <v>November</v>
          </cell>
          <cell r="J540">
            <v>1</v>
          </cell>
          <cell r="M540">
            <v>71</v>
          </cell>
          <cell r="N540">
            <v>71</v>
          </cell>
          <cell r="O540">
            <v>1.4084507042253501E-2</v>
          </cell>
        </row>
        <row r="541">
          <cell r="A541" t="str">
            <v>November</v>
          </cell>
          <cell r="J541">
            <v>1</v>
          </cell>
          <cell r="M541">
            <v>36</v>
          </cell>
          <cell r="N541">
            <v>33</v>
          </cell>
          <cell r="O541">
            <v>3.03030303030303E-2</v>
          </cell>
        </row>
        <row r="542">
          <cell r="A542" t="str">
            <v>November</v>
          </cell>
          <cell r="J542">
            <v>1</v>
          </cell>
          <cell r="M542">
            <v>18</v>
          </cell>
          <cell r="N542">
            <v>18</v>
          </cell>
          <cell r="O542">
            <v>5.5555555555555601E-2</v>
          </cell>
        </row>
        <row r="543">
          <cell r="A543" t="str">
            <v>November</v>
          </cell>
          <cell r="J543">
            <v>0</v>
          </cell>
          <cell r="M543">
            <v>25</v>
          </cell>
          <cell r="N543">
            <v>24</v>
          </cell>
          <cell r="O543">
            <v>0</v>
          </cell>
        </row>
        <row r="544">
          <cell r="A544" t="str">
            <v>November</v>
          </cell>
          <cell r="J544">
            <v>0</v>
          </cell>
          <cell r="M544">
            <v>49</v>
          </cell>
          <cell r="N544">
            <v>41</v>
          </cell>
          <cell r="O544">
            <v>0</v>
          </cell>
        </row>
        <row r="545">
          <cell r="A545" t="str">
            <v>November</v>
          </cell>
          <cell r="J545">
            <v>5</v>
          </cell>
          <cell r="M545">
            <v>224</v>
          </cell>
          <cell r="N545">
            <v>216</v>
          </cell>
          <cell r="O545">
            <v>2.3148148148148199E-2</v>
          </cell>
        </row>
        <row r="546">
          <cell r="A546" t="str">
            <v>November</v>
          </cell>
          <cell r="J546">
            <v>4</v>
          </cell>
          <cell r="M546">
            <v>66</v>
          </cell>
          <cell r="N546">
            <v>60</v>
          </cell>
          <cell r="O546">
            <v>6.6666666666666693E-2</v>
          </cell>
        </row>
        <row r="547">
          <cell r="A547" t="str">
            <v>November</v>
          </cell>
          <cell r="J547">
            <v>2</v>
          </cell>
          <cell r="M547">
            <v>522</v>
          </cell>
          <cell r="N547">
            <v>517</v>
          </cell>
          <cell r="O547">
            <v>3.8684719535783401E-3</v>
          </cell>
        </row>
        <row r="548">
          <cell r="A548" t="str">
            <v>November</v>
          </cell>
          <cell r="J548">
            <v>2</v>
          </cell>
          <cell r="M548">
            <v>438</v>
          </cell>
          <cell r="N548">
            <v>426</v>
          </cell>
          <cell r="O548">
            <v>4.6948356807511703E-3</v>
          </cell>
        </row>
        <row r="549">
          <cell r="A549" t="str">
            <v>November</v>
          </cell>
          <cell r="J549">
            <v>196</v>
          </cell>
          <cell r="M549">
            <v>2066</v>
          </cell>
          <cell r="N549">
            <v>1615</v>
          </cell>
          <cell r="O549">
            <v>0.121362229102167</v>
          </cell>
        </row>
        <row r="550">
          <cell r="A550" t="str">
            <v>November</v>
          </cell>
          <cell r="J550">
            <v>14181</v>
          </cell>
          <cell r="M550">
            <v>372438</v>
          </cell>
          <cell r="N550">
            <v>78810</v>
          </cell>
          <cell r="O550">
            <v>0.179939094023601</v>
          </cell>
        </row>
        <row r="551">
          <cell r="A551" t="str">
            <v>November</v>
          </cell>
          <cell r="J551">
            <v>1</v>
          </cell>
          <cell r="M551">
            <v>73</v>
          </cell>
          <cell r="N551">
            <v>48</v>
          </cell>
          <cell r="O551">
            <v>2.0833333333333301E-2</v>
          </cell>
        </row>
        <row r="552">
          <cell r="A552" t="str">
            <v>November</v>
          </cell>
          <cell r="J552">
            <v>0</v>
          </cell>
          <cell r="M552">
            <v>135</v>
          </cell>
          <cell r="N552">
            <v>130</v>
          </cell>
          <cell r="O552">
            <v>0</v>
          </cell>
        </row>
        <row r="553">
          <cell r="A553" t="str">
            <v>November</v>
          </cell>
          <cell r="J553">
            <v>0</v>
          </cell>
          <cell r="M553">
            <v>26</v>
          </cell>
          <cell r="N553">
            <v>24</v>
          </cell>
          <cell r="O553">
            <v>0</v>
          </cell>
        </row>
        <row r="554">
          <cell r="A554" t="str">
            <v>November</v>
          </cell>
          <cell r="J554">
            <v>9</v>
          </cell>
          <cell r="M554">
            <v>142</v>
          </cell>
          <cell r="N554">
            <v>136</v>
          </cell>
          <cell r="O554">
            <v>6.6176470588235295E-2</v>
          </cell>
        </row>
        <row r="555">
          <cell r="A555" t="str">
            <v>November</v>
          </cell>
          <cell r="J555">
            <v>2</v>
          </cell>
          <cell r="M555">
            <v>12</v>
          </cell>
          <cell r="N555">
            <v>12</v>
          </cell>
          <cell r="O555">
            <v>0.16666666666666699</v>
          </cell>
        </row>
        <row r="556">
          <cell r="A556" t="str">
            <v>November</v>
          </cell>
          <cell r="J556">
            <v>7</v>
          </cell>
          <cell r="M556">
            <v>573</v>
          </cell>
          <cell r="N556">
            <v>567</v>
          </cell>
          <cell r="O556">
            <v>1.2345679012345699E-2</v>
          </cell>
        </row>
        <row r="557">
          <cell r="A557" t="str">
            <v>November</v>
          </cell>
          <cell r="J557">
            <v>1</v>
          </cell>
          <cell r="M557">
            <v>38</v>
          </cell>
          <cell r="N557">
            <v>33</v>
          </cell>
          <cell r="O557">
            <v>3.03030303030303E-2</v>
          </cell>
        </row>
        <row r="558">
          <cell r="A558" t="str">
            <v>November</v>
          </cell>
          <cell r="J558">
            <v>0</v>
          </cell>
          <cell r="M558">
            <v>59</v>
          </cell>
          <cell r="N558">
            <v>59</v>
          </cell>
          <cell r="O558">
            <v>0</v>
          </cell>
        </row>
        <row r="559">
          <cell r="A559" t="str">
            <v>November</v>
          </cell>
          <cell r="J559">
            <v>4</v>
          </cell>
          <cell r="M559">
            <v>230</v>
          </cell>
          <cell r="N559">
            <v>220</v>
          </cell>
          <cell r="O559">
            <v>1.8181818181818198E-2</v>
          </cell>
        </row>
        <row r="560">
          <cell r="A560" t="str">
            <v>November</v>
          </cell>
          <cell r="J560">
            <v>3</v>
          </cell>
          <cell r="M560">
            <v>76</v>
          </cell>
          <cell r="N560">
            <v>69</v>
          </cell>
          <cell r="O560">
            <v>4.3478260869565202E-2</v>
          </cell>
        </row>
        <row r="561">
          <cell r="A561" t="str">
            <v>November</v>
          </cell>
          <cell r="J561">
            <v>1</v>
          </cell>
          <cell r="M561">
            <v>511</v>
          </cell>
          <cell r="N561">
            <v>503</v>
          </cell>
          <cell r="O561">
            <v>1.9880715705765401E-3</v>
          </cell>
        </row>
        <row r="562">
          <cell r="A562" t="str">
            <v>November</v>
          </cell>
          <cell r="J562">
            <v>5</v>
          </cell>
          <cell r="M562">
            <v>47</v>
          </cell>
          <cell r="N562">
            <v>43</v>
          </cell>
          <cell r="O562">
            <v>0.116279069767442</v>
          </cell>
        </row>
        <row r="563">
          <cell r="A563" t="str">
            <v>November</v>
          </cell>
          <cell r="J563">
            <v>1</v>
          </cell>
          <cell r="M563">
            <v>135</v>
          </cell>
          <cell r="N563">
            <v>132</v>
          </cell>
          <cell r="O563">
            <v>7.5757575757575803E-3</v>
          </cell>
        </row>
        <row r="564">
          <cell r="A564" t="str">
            <v>November</v>
          </cell>
          <cell r="J564">
            <v>3</v>
          </cell>
          <cell r="M564">
            <v>51</v>
          </cell>
          <cell r="N564">
            <v>46</v>
          </cell>
          <cell r="O564">
            <v>6.5217391304347797E-2</v>
          </cell>
        </row>
        <row r="565">
          <cell r="A565" t="str">
            <v>November</v>
          </cell>
          <cell r="J565">
            <v>0</v>
          </cell>
          <cell r="M565">
            <v>81</v>
          </cell>
          <cell r="N565">
            <v>81</v>
          </cell>
          <cell r="O565">
            <v>0</v>
          </cell>
        </row>
        <row r="566">
          <cell r="A566" t="str">
            <v>November</v>
          </cell>
          <cell r="J566">
            <v>3</v>
          </cell>
          <cell r="M566">
            <v>38</v>
          </cell>
          <cell r="N566">
            <v>34</v>
          </cell>
          <cell r="O566">
            <v>8.8235294117647106E-2</v>
          </cell>
        </row>
        <row r="567">
          <cell r="A567" t="str">
            <v>November</v>
          </cell>
          <cell r="J567">
            <v>7</v>
          </cell>
          <cell r="M567">
            <v>17</v>
          </cell>
          <cell r="N567">
            <v>17</v>
          </cell>
          <cell r="O567">
            <v>0.41176470588235298</v>
          </cell>
        </row>
        <row r="568">
          <cell r="A568" t="str">
            <v>November</v>
          </cell>
          <cell r="J568">
            <v>0</v>
          </cell>
          <cell r="M568">
            <v>23</v>
          </cell>
          <cell r="N568">
            <v>22</v>
          </cell>
          <cell r="O568">
            <v>0</v>
          </cell>
        </row>
        <row r="569">
          <cell r="A569" t="str">
            <v>November</v>
          </cell>
          <cell r="J569">
            <v>13</v>
          </cell>
          <cell r="M569">
            <v>90</v>
          </cell>
          <cell r="N569">
            <v>60</v>
          </cell>
          <cell r="O569">
            <v>0.21666666666666701</v>
          </cell>
        </row>
        <row r="570">
          <cell r="A570" t="str">
            <v>November</v>
          </cell>
          <cell r="J570">
            <v>10</v>
          </cell>
          <cell r="M570">
            <v>252</v>
          </cell>
          <cell r="N570">
            <v>248</v>
          </cell>
          <cell r="O570">
            <v>4.0322580645161303E-2</v>
          </cell>
        </row>
        <row r="571">
          <cell r="A571" t="str">
            <v>November</v>
          </cell>
          <cell r="J571">
            <v>15</v>
          </cell>
          <cell r="M571">
            <v>62</v>
          </cell>
          <cell r="N571">
            <v>56</v>
          </cell>
          <cell r="O571">
            <v>0.26785714285714302</v>
          </cell>
        </row>
        <row r="572">
          <cell r="A572" t="str">
            <v>November</v>
          </cell>
          <cell r="J572">
            <v>6</v>
          </cell>
          <cell r="M572">
            <v>41</v>
          </cell>
          <cell r="N572">
            <v>36</v>
          </cell>
          <cell r="O572">
            <v>0.16666666666666699</v>
          </cell>
        </row>
        <row r="573">
          <cell r="A573" t="str">
            <v>November</v>
          </cell>
          <cell r="J573">
            <v>2</v>
          </cell>
          <cell r="M573">
            <v>565</v>
          </cell>
          <cell r="N573">
            <v>560</v>
          </cell>
          <cell r="O573">
            <v>3.57142857142857E-3</v>
          </cell>
        </row>
        <row r="574">
          <cell r="A574" t="str">
            <v>November</v>
          </cell>
          <cell r="J574">
            <v>4</v>
          </cell>
          <cell r="M574">
            <v>531</v>
          </cell>
          <cell r="N574">
            <v>530</v>
          </cell>
          <cell r="O574">
            <v>7.54716981132076E-3</v>
          </cell>
        </row>
        <row r="575">
          <cell r="A575" t="str">
            <v>November</v>
          </cell>
          <cell r="J575">
            <v>51184</v>
          </cell>
          <cell r="M575">
            <v>1285017</v>
          </cell>
          <cell r="N575">
            <v>282279</v>
          </cell>
          <cell r="O575">
            <v>0.181324150928691</v>
          </cell>
        </row>
        <row r="576">
          <cell r="A576" t="str">
            <v>November</v>
          </cell>
          <cell r="J576">
            <v>9558</v>
          </cell>
          <cell r="M576">
            <v>198924</v>
          </cell>
          <cell r="N576">
            <v>70864</v>
          </cell>
          <cell r="O576">
            <v>0.13487807631519499</v>
          </cell>
        </row>
        <row r="577">
          <cell r="A577" t="str">
            <v>November</v>
          </cell>
          <cell r="J577">
            <v>26004</v>
          </cell>
          <cell r="M577">
            <v>569455</v>
          </cell>
          <cell r="N577">
            <v>162601</v>
          </cell>
          <cell r="O577">
            <v>0.15992521571208099</v>
          </cell>
        </row>
        <row r="578">
          <cell r="A578" t="str">
            <v>November</v>
          </cell>
          <cell r="J578">
            <v>10074</v>
          </cell>
          <cell r="M578">
            <v>299196</v>
          </cell>
          <cell r="N578">
            <v>104904</v>
          </cell>
          <cell r="O578">
            <v>9.6030656600320299E-2</v>
          </cell>
        </row>
        <row r="579">
          <cell r="A579" t="str">
            <v>November</v>
          </cell>
          <cell r="J579">
            <v>14793</v>
          </cell>
          <cell r="M579">
            <v>392607</v>
          </cell>
          <cell r="N579">
            <v>85063</v>
          </cell>
          <cell r="O579">
            <v>0.17390639878678199</v>
          </cell>
        </row>
        <row r="580">
          <cell r="A580" t="str">
            <v>November</v>
          </cell>
          <cell r="J580">
            <v>13663</v>
          </cell>
          <cell r="M580">
            <v>344840</v>
          </cell>
          <cell r="N580">
            <v>81909</v>
          </cell>
          <cell r="O580">
            <v>0.16680706637854201</v>
          </cell>
        </row>
        <row r="581">
          <cell r="A581" t="str">
            <v>November</v>
          </cell>
          <cell r="J581">
            <v>2003</v>
          </cell>
          <cell r="M581">
            <v>192792</v>
          </cell>
          <cell r="N581">
            <v>128893</v>
          </cell>
          <cell r="O581">
            <v>1.55400215682776E-2</v>
          </cell>
        </row>
        <row r="582">
          <cell r="A582" t="str">
            <v>November</v>
          </cell>
          <cell r="J582">
            <v>1</v>
          </cell>
          <cell r="M582">
            <v>0</v>
          </cell>
          <cell r="N582">
            <v>5</v>
          </cell>
          <cell r="O582">
            <v>0.2</v>
          </cell>
        </row>
        <row r="583">
          <cell r="A583" t="str">
            <v>November</v>
          </cell>
          <cell r="J583">
            <v>0</v>
          </cell>
          <cell r="M583">
            <v>0</v>
          </cell>
          <cell r="N583">
            <v>10</v>
          </cell>
          <cell r="O583">
            <v>0</v>
          </cell>
        </row>
        <row r="584">
          <cell r="A584" t="str">
            <v>November</v>
          </cell>
          <cell r="J584">
            <v>9</v>
          </cell>
          <cell r="M584">
            <v>0</v>
          </cell>
          <cell r="N584">
            <v>133</v>
          </cell>
          <cell r="O584">
            <v>6.7669172932330796E-2</v>
          </cell>
        </row>
        <row r="585">
          <cell r="A585" t="str">
            <v>November</v>
          </cell>
          <cell r="J585">
            <v>0</v>
          </cell>
          <cell r="M585">
            <v>0</v>
          </cell>
          <cell r="N585">
            <v>3</v>
          </cell>
          <cell r="O585">
            <v>0</v>
          </cell>
        </row>
        <row r="586">
          <cell r="A586" t="str">
            <v>November</v>
          </cell>
          <cell r="J586">
            <v>0</v>
          </cell>
          <cell r="M586">
            <v>0</v>
          </cell>
          <cell r="N586">
            <v>12</v>
          </cell>
          <cell r="O586">
            <v>0</v>
          </cell>
        </row>
        <row r="587">
          <cell r="A587" t="str">
            <v>November</v>
          </cell>
          <cell r="J587">
            <v>23</v>
          </cell>
          <cell r="M587">
            <v>0</v>
          </cell>
          <cell r="N587">
            <v>259</v>
          </cell>
          <cell r="O587">
            <v>8.8803088803088806E-2</v>
          </cell>
        </row>
        <row r="588">
          <cell r="A588" t="str">
            <v>November</v>
          </cell>
          <cell r="J588">
            <v>1</v>
          </cell>
          <cell r="M588">
            <v>0</v>
          </cell>
          <cell r="N588">
            <v>7</v>
          </cell>
          <cell r="O588">
            <v>0.14285714285714299</v>
          </cell>
        </row>
        <row r="589">
          <cell r="A589" t="str">
            <v>November</v>
          </cell>
          <cell r="J589">
            <v>1</v>
          </cell>
          <cell r="M589">
            <v>0</v>
          </cell>
          <cell r="N589">
            <v>9</v>
          </cell>
          <cell r="O589">
            <v>0.11111111111111099</v>
          </cell>
        </row>
        <row r="590">
          <cell r="A590" t="str">
            <v>November</v>
          </cell>
          <cell r="J590">
            <v>0</v>
          </cell>
          <cell r="M590">
            <v>0</v>
          </cell>
          <cell r="N590">
            <v>4</v>
          </cell>
          <cell r="O590">
            <v>0</v>
          </cell>
        </row>
        <row r="591">
          <cell r="A591" t="str">
            <v>November</v>
          </cell>
          <cell r="J591">
            <v>3</v>
          </cell>
          <cell r="M591">
            <v>0</v>
          </cell>
          <cell r="N591">
            <v>50</v>
          </cell>
          <cell r="O591">
            <v>0.06</v>
          </cell>
        </row>
        <row r="592">
          <cell r="A592" t="str">
            <v>November</v>
          </cell>
          <cell r="J592">
            <v>0</v>
          </cell>
          <cell r="M592">
            <v>0</v>
          </cell>
          <cell r="N592">
            <v>24</v>
          </cell>
          <cell r="O592">
            <v>0</v>
          </cell>
        </row>
        <row r="593">
          <cell r="A593" t="str">
            <v>November</v>
          </cell>
          <cell r="J593">
            <v>2</v>
          </cell>
          <cell r="M593">
            <v>0</v>
          </cell>
          <cell r="N593">
            <v>10</v>
          </cell>
          <cell r="O593">
            <v>0.2</v>
          </cell>
        </row>
        <row r="594">
          <cell r="A594" t="str">
            <v>November</v>
          </cell>
          <cell r="J594">
            <v>0</v>
          </cell>
          <cell r="M594">
            <v>0</v>
          </cell>
          <cell r="N594">
            <v>3</v>
          </cell>
          <cell r="O594">
            <v>0</v>
          </cell>
        </row>
        <row r="595">
          <cell r="A595" t="str">
            <v>November</v>
          </cell>
          <cell r="J595">
            <v>0</v>
          </cell>
          <cell r="M595">
            <v>0</v>
          </cell>
          <cell r="N595">
            <v>11</v>
          </cell>
          <cell r="O595">
            <v>0</v>
          </cell>
        </row>
        <row r="596">
          <cell r="A596" t="str">
            <v>November</v>
          </cell>
          <cell r="J596">
            <v>10</v>
          </cell>
          <cell r="M596">
            <v>0</v>
          </cell>
          <cell r="N596">
            <v>90</v>
          </cell>
          <cell r="O596">
            <v>0.11111111111111099</v>
          </cell>
        </row>
        <row r="597">
          <cell r="A597" t="str">
            <v>November</v>
          </cell>
          <cell r="J597">
            <v>0</v>
          </cell>
          <cell r="M597">
            <v>0</v>
          </cell>
          <cell r="N597">
            <v>0</v>
          </cell>
          <cell r="O597">
            <v>0</v>
          </cell>
        </row>
        <row r="598">
          <cell r="A598" t="str">
            <v>November</v>
          </cell>
          <cell r="J598">
            <v>0</v>
          </cell>
          <cell r="M598">
            <v>0</v>
          </cell>
          <cell r="N598">
            <v>15</v>
          </cell>
          <cell r="O598">
            <v>0</v>
          </cell>
        </row>
        <row r="599">
          <cell r="A599" t="str">
            <v>November</v>
          </cell>
          <cell r="J599">
            <v>3</v>
          </cell>
          <cell r="M599">
            <v>0</v>
          </cell>
          <cell r="N599">
            <v>85</v>
          </cell>
          <cell r="O599">
            <v>3.5294117647058802E-2</v>
          </cell>
        </row>
        <row r="600">
          <cell r="A600" t="str">
            <v>November</v>
          </cell>
          <cell r="J600">
            <v>1</v>
          </cell>
          <cell r="M600">
            <v>0</v>
          </cell>
          <cell r="N600">
            <v>1</v>
          </cell>
          <cell r="O600">
            <v>1</v>
          </cell>
        </row>
        <row r="601">
          <cell r="A601" t="str">
            <v>November</v>
          </cell>
          <cell r="J601">
            <v>2</v>
          </cell>
          <cell r="M601">
            <v>0</v>
          </cell>
          <cell r="N601">
            <v>8</v>
          </cell>
          <cell r="O601">
            <v>0.25</v>
          </cell>
        </row>
        <row r="602">
          <cell r="A602" t="str">
            <v>November</v>
          </cell>
          <cell r="J602">
            <v>0</v>
          </cell>
          <cell r="M602">
            <v>0</v>
          </cell>
          <cell r="N602">
            <v>3</v>
          </cell>
          <cell r="O602">
            <v>0</v>
          </cell>
        </row>
        <row r="603">
          <cell r="A603" t="str">
            <v>November</v>
          </cell>
          <cell r="J603">
            <v>1</v>
          </cell>
          <cell r="M603">
            <v>0</v>
          </cell>
          <cell r="N603">
            <v>33</v>
          </cell>
          <cell r="O603">
            <v>3.03030303030303E-2</v>
          </cell>
        </row>
        <row r="604">
          <cell r="A604" t="str">
            <v>November</v>
          </cell>
          <cell r="J604">
            <v>2</v>
          </cell>
          <cell r="M604">
            <v>0</v>
          </cell>
          <cell r="N604">
            <v>13</v>
          </cell>
          <cell r="O604">
            <v>0.15384615384615399</v>
          </cell>
        </row>
        <row r="605">
          <cell r="A605" t="str">
            <v>November</v>
          </cell>
          <cell r="J605">
            <v>5</v>
          </cell>
          <cell r="M605">
            <v>6</v>
          </cell>
          <cell r="N605">
            <v>6</v>
          </cell>
          <cell r="O605">
            <v>0.83333333333333304</v>
          </cell>
        </row>
        <row r="606">
          <cell r="A606" t="str">
            <v>November</v>
          </cell>
          <cell r="J606">
            <v>1</v>
          </cell>
          <cell r="M606">
            <v>13</v>
          </cell>
          <cell r="N606">
            <v>13</v>
          </cell>
          <cell r="O606">
            <v>7.69230769230769E-2</v>
          </cell>
        </row>
        <row r="607">
          <cell r="A607" t="str">
            <v>November</v>
          </cell>
          <cell r="J607">
            <v>10</v>
          </cell>
          <cell r="M607">
            <v>130</v>
          </cell>
          <cell r="N607">
            <v>118</v>
          </cell>
          <cell r="O607">
            <v>8.4745762711864403E-2</v>
          </cell>
        </row>
        <row r="608">
          <cell r="A608" t="str">
            <v>November</v>
          </cell>
          <cell r="J608">
            <v>1</v>
          </cell>
          <cell r="M608">
            <v>5</v>
          </cell>
          <cell r="N608">
            <v>5</v>
          </cell>
          <cell r="O608">
            <v>0.2</v>
          </cell>
        </row>
        <row r="609">
          <cell r="A609" t="str">
            <v>November</v>
          </cell>
          <cell r="J609">
            <v>1</v>
          </cell>
          <cell r="M609">
            <v>19</v>
          </cell>
          <cell r="N609">
            <v>18</v>
          </cell>
          <cell r="O609">
            <v>5.5555555555555601E-2</v>
          </cell>
        </row>
        <row r="610">
          <cell r="A610" t="str">
            <v>November</v>
          </cell>
          <cell r="J610">
            <v>12</v>
          </cell>
          <cell r="M610">
            <v>150</v>
          </cell>
          <cell r="N610">
            <v>140</v>
          </cell>
          <cell r="O610">
            <v>8.5714285714285701E-2</v>
          </cell>
        </row>
        <row r="611">
          <cell r="A611" t="str">
            <v>November</v>
          </cell>
          <cell r="J611">
            <v>2</v>
          </cell>
          <cell r="M611">
            <v>5</v>
          </cell>
          <cell r="N611">
            <v>5</v>
          </cell>
          <cell r="O611">
            <v>0.4</v>
          </cell>
        </row>
        <row r="612">
          <cell r="A612" t="str">
            <v>November</v>
          </cell>
          <cell r="J612">
            <v>2</v>
          </cell>
          <cell r="M612">
            <v>11</v>
          </cell>
          <cell r="N612">
            <v>11</v>
          </cell>
          <cell r="O612">
            <v>0.18181818181818199</v>
          </cell>
        </row>
        <row r="613">
          <cell r="A613" t="str">
            <v>November</v>
          </cell>
          <cell r="J613">
            <v>6</v>
          </cell>
          <cell r="M613">
            <v>52</v>
          </cell>
          <cell r="N613">
            <v>51</v>
          </cell>
          <cell r="O613">
            <v>0.11764705882352899</v>
          </cell>
        </row>
        <row r="614">
          <cell r="A614" t="str">
            <v>November</v>
          </cell>
          <cell r="J614">
            <v>2</v>
          </cell>
          <cell r="M614">
            <v>12</v>
          </cell>
          <cell r="N614">
            <v>12</v>
          </cell>
          <cell r="O614">
            <v>0.16666666666666699</v>
          </cell>
        </row>
        <row r="615">
          <cell r="A615" t="str">
            <v>November</v>
          </cell>
          <cell r="J615">
            <v>5</v>
          </cell>
          <cell r="M615">
            <v>36</v>
          </cell>
          <cell r="N615">
            <v>31</v>
          </cell>
          <cell r="O615">
            <v>0.16129032258064499</v>
          </cell>
        </row>
        <row r="616">
          <cell r="A616" t="str">
            <v>November</v>
          </cell>
          <cell r="J616">
            <v>2</v>
          </cell>
          <cell r="M616">
            <v>9</v>
          </cell>
          <cell r="N616">
            <v>8</v>
          </cell>
          <cell r="O616">
            <v>0.25</v>
          </cell>
        </row>
        <row r="617">
          <cell r="A617" t="str">
            <v>November</v>
          </cell>
          <cell r="J617">
            <v>0</v>
          </cell>
          <cell r="M617">
            <v>19</v>
          </cell>
          <cell r="N617">
            <v>17</v>
          </cell>
          <cell r="O617">
            <v>0</v>
          </cell>
        </row>
        <row r="618">
          <cell r="A618" t="str">
            <v>November</v>
          </cell>
          <cell r="J618">
            <v>10</v>
          </cell>
          <cell r="M618">
            <v>149</v>
          </cell>
          <cell r="N618">
            <v>137</v>
          </cell>
          <cell r="O618">
            <v>7.2992700729927001E-2</v>
          </cell>
        </row>
        <row r="619">
          <cell r="A619" t="str">
            <v>November</v>
          </cell>
          <cell r="J619">
            <v>0</v>
          </cell>
          <cell r="M619">
            <v>8</v>
          </cell>
          <cell r="N619">
            <v>8</v>
          </cell>
          <cell r="O619">
            <v>0</v>
          </cell>
        </row>
        <row r="620">
          <cell r="A620" t="str">
            <v>November</v>
          </cell>
          <cell r="J620">
            <v>0</v>
          </cell>
          <cell r="M620">
            <v>15</v>
          </cell>
          <cell r="N620">
            <v>15</v>
          </cell>
          <cell r="O620">
            <v>0</v>
          </cell>
        </row>
        <row r="621">
          <cell r="A621" t="str">
            <v>November</v>
          </cell>
          <cell r="J621">
            <v>14</v>
          </cell>
          <cell r="M621">
            <v>174</v>
          </cell>
          <cell r="N621">
            <v>153</v>
          </cell>
          <cell r="O621">
            <v>9.1503267973856203E-2</v>
          </cell>
        </row>
        <row r="622">
          <cell r="A622" t="str">
            <v>November</v>
          </cell>
          <cell r="J622">
            <v>1</v>
          </cell>
          <cell r="M622">
            <v>6</v>
          </cell>
          <cell r="N622">
            <v>6</v>
          </cell>
          <cell r="O622">
            <v>0.16666666666666699</v>
          </cell>
        </row>
        <row r="623">
          <cell r="A623" t="str">
            <v>November</v>
          </cell>
          <cell r="J623">
            <v>0</v>
          </cell>
          <cell r="M623">
            <v>11</v>
          </cell>
          <cell r="N623">
            <v>10</v>
          </cell>
          <cell r="O623">
            <v>0</v>
          </cell>
        </row>
        <row r="624">
          <cell r="A624" t="str">
            <v>November</v>
          </cell>
          <cell r="J624">
            <v>3</v>
          </cell>
          <cell r="M624">
            <v>38</v>
          </cell>
          <cell r="N624">
            <v>37</v>
          </cell>
          <cell r="O624">
            <v>8.1081081081081099E-2</v>
          </cell>
        </row>
        <row r="625">
          <cell r="A625" t="str">
            <v>November</v>
          </cell>
          <cell r="J625">
            <v>0</v>
          </cell>
          <cell r="M625">
            <v>14</v>
          </cell>
          <cell r="N625">
            <v>14</v>
          </cell>
          <cell r="O625">
            <v>0</v>
          </cell>
        </row>
        <row r="626">
          <cell r="A626" t="str">
            <v>November</v>
          </cell>
          <cell r="J626">
            <v>3</v>
          </cell>
          <cell r="M626">
            <v>44</v>
          </cell>
          <cell r="N626">
            <v>41</v>
          </cell>
          <cell r="O626">
            <v>7.3170731707317097E-2</v>
          </cell>
        </row>
        <row r="627">
          <cell r="A627" t="str">
            <v>November</v>
          </cell>
          <cell r="J627">
            <v>0</v>
          </cell>
          <cell r="M627">
            <v>14</v>
          </cell>
          <cell r="N627">
            <v>14</v>
          </cell>
          <cell r="O627">
            <v>0</v>
          </cell>
        </row>
        <row r="628">
          <cell r="A628" t="str">
            <v>November</v>
          </cell>
          <cell r="J628">
            <v>0</v>
          </cell>
          <cell r="M628">
            <v>6</v>
          </cell>
          <cell r="N628">
            <v>6</v>
          </cell>
          <cell r="O628">
            <v>0</v>
          </cell>
        </row>
        <row r="629">
          <cell r="A629" t="str">
            <v>November</v>
          </cell>
          <cell r="J629">
            <v>1</v>
          </cell>
          <cell r="M629">
            <v>11</v>
          </cell>
          <cell r="N629">
            <v>10</v>
          </cell>
          <cell r="O629">
            <v>0.1</v>
          </cell>
        </row>
        <row r="630">
          <cell r="A630" t="str">
            <v>November</v>
          </cell>
          <cell r="J630">
            <v>0</v>
          </cell>
          <cell r="M630">
            <v>3</v>
          </cell>
          <cell r="N630">
            <v>3</v>
          </cell>
          <cell r="O630">
            <v>0</v>
          </cell>
        </row>
        <row r="631">
          <cell r="A631" t="str">
            <v>November</v>
          </cell>
          <cell r="J631">
            <v>0</v>
          </cell>
          <cell r="M631">
            <v>15</v>
          </cell>
          <cell r="N631">
            <v>12</v>
          </cell>
          <cell r="O631">
            <v>0</v>
          </cell>
        </row>
        <row r="632">
          <cell r="A632" t="str">
            <v>November</v>
          </cell>
          <cell r="J632">
            <v>8</v>
          </cell>
          <cell r="M632">
            <v>144</v>
          </cell>
          <cell r="N632">
            <v>125</v>
          </cell>
          <cell r="O632">
            <v>6.4000000000000001E-2</v>
          </cell>
        </row>
        <row r="633">
          <cell r="A633" t="str">
            <v>November</v>
          </cell>
          <cell r="J633">
            <v>14</v>
          </cell>
          <cell r="M633">
            <v>201</v>
          </cell>
          <cell r="N633">
            <v>191</v>
          </cell>
          <cell r="O633">
            <v>7.3298429319371694E-2</v>
          </cell>
        </row>
        <row r="634">
          <cell r="A634" t="str">
            <v>November</v>
          </cell>
          <cell r="J634">
            <v>1</v>
          </cell>
          <cell r="M634">
            <v>24</v>
          </cell>
          <cell r="N634">
            <v>24</v>
          </cell>
          <cell r="O634">
            <v>4.1666666666666699E-2</v>
          </cell>
        </row>
        <row r="635">
          <cell r="A635" t="str">
            <v>November</v>
          </cell>
          <cell r="J635">
            <v>0</v>
          </cell>
          <cell r="M635">
            <v>6</v>
          </cell>
          <cell r="N635">
            <v>6</v>
          </cell>
          <cell r="O635">
            <v>0</v>
          </cell>
        </row>
        <row r="636">
          <cell r="A636" t="str">
            <v>November</v>
          </cell>
          <cell r="J636">
            <v>0</v>
          </cell>
          <cell r="M636">
            <v>6</v>
          </cell>
          <cell r="N636">
            <v>6</v>
          </cell>
          <cell r="O636">
            <v>0</v>
          </cell>
        </row>
        <row r="637">
          <cell r="A637" t="str">
            <v>November</v>
          </cell>
          <cell r="J637">
            <v>0</v>
          </cell>
          <cell r="M637">
            <v>1</v>
          </cell>
          <cell r="N637">
            <v>1</v>
          </cell>
          <cell r="O637">
            <v>0</v>
          </cell>
        </row>
        <row r="638">
          <cell r="A638" t="str">
            <v>November</v>
          </cell>
          <cell r="J638">
            <v>0</v>
          </cell>
          <cell r="M638">
            <v>12</v>
          </cell>
          <cell r="N638">
            <v>12</v>
          </cell>
          <cell r="O638">
            <v>0</v>
          </cell>
        </row>
        <row r="639">
          <cell r="A639" t="str">
            <v>November</v>
          </cell>
          <cell r="J639">
            <v>8</v>
          </cell>
          <cell r="M639">
            <v>163</v>
          </cell>
          <cell r="N639">
            <v>145</v>
          </cell>
          <cell r="O639">
            <v>5.5172413793103503E-2</v>
          </cell>
        </row>
        <row r="640">
          <cell r="A640" t="str">
            <v>November</v>
          </cell>
          <cell r="J640">
            <v>0</v>
          </cell>
          <cell r="M640">
            <v>2</v>
          </cell>
          <cell r="N640">
            <v>2</v>
          </cell>
          <cell r="O640">
            <v>0</v>
          </cell>
        </row>
        <row r="641">
          <cell r="A641" t="str">
            <v>November</v>
          </cell>
          <cell r="J641">
            <v>0</v>
          </cell>
          <cell r="M641">
            <v>15</v>
          </cell>
          <cell r="N641">
            <v>13</v>
          </cell>
          <cell r="O641">
            <v>0</v>
          </cell>
        </row>
        <row r="642">
          <cell r="A642" t="str">
            <v>November</v>
          </cell>
          <cell r="J642">
            <v>11</v>
          </cell>
          <cell r="M642">
            <v>180</v>
          </cell>
          <cell r="N642">
            <v>172</v>
          </cell>
          <cell r="O642">
            <v>6.3953488372092998E-2</v>
          </cell>
        </row>
        <row r="643">
          <cell r="A643" t="str">
            <v>November</v>
          </cell>
          <cell r="J643">
            <v>0</v>
          </cell>
          <cell r="M643">
            <v>5</v>
          </cell>
          <cell r="N643">
            <v>4</v>
          </cell>
          <cell r="O643">
            <v>0</v>
          </cell>
        </row>
        <row r="644">
          <cell r="A644" t="str">
            <v>November</v>
          </cell>
          <cell r="J644">
            <v>1</v>
          </cell>
          <cell r="M644">
            <v>5</v>
          </cell>
          <cell r="N644">
            <v>5</v>
          </cell>
          <cell r="O644">
            <v>0.2</v>
          </cell>
        </row>
        <row r="645">
          <cell r="A645" t="str">
            <v>November</v>
          </cell>
          <cell r="J645">
            <v>0</v>
          </cell>
          <cell r="M645">
            <v>23</v>
          </cell>
          <cell r="N645">
            <v>19</v>
          </cell>
          <cell r="O645">
            <v>0</v>
          </cell>
        </row>
        <row r="646">
          <cell r="A646" t="str">
            <v>November</v>
          </cell>
          <cell r="J646">
            <v>1</v>
          </cell>
          <cell r="M646">
            <v>30</v>
          </cell>
          <cell r="N646">
            <v>29</v>
          </cell>
          <cell r="O646">
            <v>3.4482758620689703E-2</v>
          </cell>
        </row>
        <row r="647">
          <cell r="A647" t="str">
            <v>November</v>
          </cell>
          <cell r="J647">
            <v>1</v>
          </cell>
          <cell r="M647">
            <v>4</v>
          </cell>
          <cell r="N647">
            <v>4</v>
          </cell>
          <cell r="O647">
            <v>0.25</v>
          </cell>
        </row>
        <row r="648">
          <cell r="A648" t="str">
            <v>November</v>
          </cell>
          <cell r="J648">
            <v>1</v>
          </cell>
          <cell r="M648">
            <v>8</v>
          </cell>
          <cell r="N648">
            <v>7</v>
          </cell>
          <cell r="O648">
            <v>0.14285714285714299</v>
          </cell>
        </row>
        <row r="649">
          <cell r="A649" t="str">
            <v>November</v>
          </cell>
          <cell r="J649">
            <v>1</v>
          </cell>
          <cell r="M649">
            <v>16</v>
          </cell>
          <cell r="N649">
            <v>16</v>
          </cell>
          <cell r="O649">
            <v>6.25E-2</v>
          </cell>
        </row>
        <row r="650">
          <cell r="A650" t="str">
            <v>November</v>
          </cell>
          <cell r="J650">
            <v>2</v>
          </cell>
          <cell r="M650">
            <v>21</v>
          </cell>
          <cell r="N650">
            <v>20</v>
          </cell>
          <cell r="O650">
            <v>0.1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30F3FF76-076F-42A4-8569-CDBF9CA48844}" autoFormatId="16" applyNumberFormats="0" applyBorderFormats="0" applyFontFormats="0" applyPatternFormats="0" applyAlignmentFormats="0" applyWidthHeightFormats="0">
  <queryTableRefresh nextId="14">
    <queryTableFields count="13">
      <queryTableField id="1" name="Month" tableColumnId="1"/>
      <queryTableField id="2" name="Channel" tableColumnId="2"/>
      <queryTableField id="3" name="Profile (Market)" tableColumnId="3"/>
      <queryTableField id="4" name="Format" tableColumnId="4"/>
      <queryTableField id="5" name="Posted Date" tableColumnId="5"/>
      <queryTableField id="6" name="Pillar" tableColumnId="6"/>
      <queryTableField id="7" name="Master Pillar" tableColumnId="7"/>
      <queryTableField id="8" name="Engagements" tableColumnId="8"/>
      <queryTableField id="9" name="Comments" tableColumnId="9"/>
      <queryTableField id="10" name="Like" tableColumnId="10"/>
      <queryTableField id="11" name="Impressions" tableColumnId="11"/>
      <queryTableField id="12" name="Reach" tableColumnId="12"/>
      <queryTableField id="13" name="Engagement Ra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977167-AA3B-4F21-BAD1-8465610FC81A}" name="Sheet1__5" displayName="Sheet1__5" ref="A1:M650" tableType="queryTable" totalsRowShown="0">
  <autoFilter ref="A1:M650" xr:uid="{1B977167-AA3B-4F21-BAD1-8465610FC81A}"/>
  <tableColumns count="13">
    <tableColumn id="1" xr3:uid="{CE5AEE24-9C26-476B-A41D-C09EDBE30218}" uniqueName="1" name="Month" queryTableFieldId="1" dataDxfId="14"/>
    <tableColumn id="2" xr3:uid="{9D40E969-5F9E-4797-B5D1-F07A86F7DDD9}" uniqueName="2" name="Channel" queryTableFieldId="2" dataDxfId="13"/>
    <tableColumn id="3" xr3:uid="{F7D5037D-02F5-4B72-84AC-2C067E54EB03}" uniqueName="3" name="Profile (Market)" queryTableFieldId="3" dataDxfId="12"/>
    <tableColumn id="4" xr3:uid="{47EAC451-2192-4979-8DD5-5AF2AC10346E}" uniqueName="4" name="Format" queryTableFieldId="4" dataDxfId="11"/>
    <tableColumn id="5" xr3:uid="{E40B7853-E485-4393-8032-3088F75F2110}" uniqueName="5" name="Posted Date" queryTableFieldId="5" dataDxfId="10"/>
    <tableColumn id="6" xr3:uid="{0BF2F7C0-7F58-4B40-8B32-6ECF96BE2937}" uniqueName="6" name="Pillar" queryTableFieldId="6" dataDxfId="9"/>
    <tableColumn id="7" xr3:uid="{110B7C08-B42F-4516-83F9-2C94477DCC6B}" uniqueName="7" name="Master Pillar" queryTableFieldId="7" dataDxfId="8"/>
    <tableColumn id="8" xr3:uid="{E5E4C283-6952-4C0B-BC81-6C99CBB8D322}" uniqueName="8" name="Engagements" queryTableFieldId="8"/>
    <tableColumn id="9" xr3:uid="{F53C7692-E4D9-4D48-BC99-CA03FC86B1E4}" uniqueName="9" name="Comments" queryTableFieldId="9"/>
    <tableColumn id="10" xr3:uid="{7FEBA52B-1591-4876-8357-B02FFE19F007}" uniqueName="10" name="Like" queryTableFieldId="10"/>
    <tableColumn id="11" xr3:uid="{5BD99D0F-17B6-4C4E-9ECB-1F7E296C0CCD}" uniqueName="11" name="Impressions" queryTableFieldId="11"/>
    <tableColumn id="12" xr3:uid="{175FEEB9-82CC-45C3-95A2-1D608D0E352E}" uniqueName="12" name="Reach" queryTableFieldId="12"/>
    <tableColumn id="13" xr3:uid="{7CBDDBB9-BFA1-4E89-9259-6EEF2C12CA32}" uniqueName="13" name="Engagement Rates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EAC29-3948-4D30-9908-4F799B05A9DF}" name="Table1" displayName="Table1" ref="A29:B35" totalsRowShown="0">
  <autoFilter ref="A29:B35" xr:uid="{AAAEAC29-3948-4D30-9908-4F799B05A9DF}"/>
  <tableColumns count="2">
    <tableColumn id="1" xr3:uid="{1C99B2C9-2BD1-4502-971A-F58F3ABD8EE5}" name="Month" dataDxfId="7"/>
    <tableColumn id="2" xr3:uid="{398CA495-8225-42D5-A825-C20564681B74}" name="Avg Engagement Rate (Eng/Reach)" dataDxfId="6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9A37CB-4E8D-4FC2-843B-BF87869AE9FD}" name="Table3" displayName="Table3" ref="A17:B28" totalsRowShown="0" headerRowDxfId="5" tableBorderDxfId="4">
  <autoFilter ref="A17:B28" xr:uid="{979A37CB-4E8D-4FC2-843B-BF87869AE9FD}"/>
  <tableColumns count="2">
    <tableColumn id="1" xr3:uid="{F1ECF521-AA47-40A9-AEDB-16AA5A150F04}" name="Master Pillar" dataDxfId="3"/>
    <tableColumn id="2" xr3:uid="{65799B89-BF33-4C7F-B3E1-2EDC753E3751}" name="Avg Engagement Rate (%)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7C0F65-A6C7-4066-BB54-F63ECFFE79A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0d57afa-afa4-43ec-8e11-8c943d24762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E4D6-6201-4E37-97ED-7DF6ED97B7F4}">
  <sheetPr>
    <tabColor theme="6" tint="-0.499984740745262"/>
  </sheetPr>
  <dimension ref="A1:M667"/>
  <sheetViews>
    <sheetView topLeftCell="A7" workbookViewId="0">
      <selection activeCell="B660" sqref="B660"/>
    </sheetView>
  </sheetViews>
  <sheetFormatPr defaultRowHeight="14.5" x14ac:dyDescent="0.35"/>
  <cols>
    <col min="1" max="1" width="19.36328125" bestFit="1" customWidth="1"/>
    <col min="2" max="2" width="13.1796875" bestFit="1" customWidth="1"/>
    <col min="3" max="3" width="16.81640625" bestFit="1" customWidth="1"/>
    <col min="4" max="4" width="14.7265625" bestFit="1" customWidth="1"/>
    <col min="5" max="5" width="13.36328125" bestFit="1" customWidth="1"/>
    <col min="6" max="6" width="15.7265625" bestFit="1" customWidth="1"/>
    <col min="7" max="7" width="18.36328125" bestFit="1" customWidth="1"/>
    <col min="8" max="8" width="14.7265625" bestFit="1" customWidth="1"/>
    <col min="9" max="9" width="14.54296875" customWidth="1"/>
    <col min="11" max="11" width="16.08984375" customWidth="1"/>
    <col min="13" max="13" width="17.453125" customWidth="1"/>
  </cols>
  <sheetData>
    <row r="1" spans="1:13" x14ac:dyDescent="0.35">
      <c r="A1" t="s">
        <v>0</v>
      </c>
      <c r="B1" t="s">
        <v>1</v>
      </c>
      <c r="C1" t="s">
        <v>140</v>
      </c>
      <c r="D1" t="s">
        <v>3</v>
      </c>
      <c r="E1" t="s">
        <v>141</v>
      </c>
      <c r="F1" t="s">
        <v>4</v>
      </c>
      <c r="G1" t="s">
        <v>5</v>
      </c>
      <c r="H1" t="s">
        <v>6</v>
      </c>
      <c r="I1" t="s">
        <v>7</v>
      </c>
      <c r="J1" t="s">
        <v>142</v>
      </c>
      <c r="K1" t="s">
        <v>9</v>
      </c>
      <c r="L1" t="s">
        <v>10</v>
      </c>
      <c r="M1" t="s">
        <v>143</v>
      </c>
    </row>
    <row r="2" spans="1:13" x14ac:dyDescent="0.35">
      <c r="A2" t="s">
        <v>144</v>
      </c>
      <c r="B2" t="s">
        <v>13</v>
      </c>
      <c r="C2" t="s">
        <v>145</v>
      </c>
      <c r="D2" t="s">
        <v>146</v>
      </c>
      <c r="E2" t="s">
        <v>147</v>
      </c>
      <c r="F2" t="s">
        <v>28</v>
      </c>
      <c r="G2" t="s">
        <v>29</v>
      </c>
      <c r="H2">
        <v>2</v>
      </c>
      <c r="I2">
        <v>0</v>
      </c>
      <c r="J2">
        <v>1</v>
      </c>
      <c r="K2">
        <v>4</v>
      </c>
      <c r="L2">
        <v>4</v>
      </c>
      <c r="M2">
        <v>0.5</v>
      </c>
    </row>
    <row r="3" spans="1:13" x14ac:dyDescent="0.35">
      <c r="A3" t="s">
        <v>144</v>
      </c>
      <c r="B3" t="s">
        <v>13</v>
      </c>
      <c r="C3" t="s">
        <v>148</v>
      </c>
      <c r="D3" t="s">
        <v>146</v>
      </c>
      <c r="E3" t="s">
        <v>147</v>
      </c>
      <c r="F3" t="s">
        <v>16</v>
      </c>
      <c r="G3" t="s">
        <v>17</v>
      </c>
      <c r="H3">
        <v>1</v>
      </c>
      <c r="I3">
        <v>0</v>
      </c>
      <c r="J3">
        <v>0</v>
      </c>
      <c r="K3">
        <v>165</v>
      </c>
      <c r="L3">
        <v>164</v>
      </c>
      <c r="M3">
        <v>6.0975609756097563E-3</v>
      </c>
    </row>
    <row r="4" spans="1:13" x14ac:dyDescent="0.35">
      <c r="A4" t="s">
        <v>144</v>
      </c>
      <c r="B4" t="s">
        <v>13</v>
      </c>
      <c r="C4" t="s">
        <v>149</v>
      </c>
      <c r="D4" t="s">
        <v>146</v>
      </c>
      <c r="E4" t="s">
        <v>147</v>
      </c>
      <c r="F4" t="s">
        <v>16</v>
      </c>
      <c r="G4" t="s">
        <v>17</v>
      </c>
      <c r="H4">
        <v>1</v>
      </c>
      <c r="I4">
        <v>0</v>
      </c>
      <c r="J4">
        <v>1</v>
      </c>
      <c r="K4">
        <v>187</v>
      </c>
      <c r="L4">
        <v>186</v>
      </c>
      <c r="M4">
        <v>5.3763440860215058E-3</v>
      </c>
    </row>
    <row r="5" spans="1:13" x14ac:dyDescent="0.35">
      <c r="A5" t="s">
        <v>144</v>
      </c>
      <c r="B5" t="s">
        <v>13</v>
      </c>
      <c r="C5" t="s">
        <v>150</v>
      </c>
      <c r="D5" t="s">
        <v>146</v>
      </c>
      <c r="E5" t="s">
        <v>147</v>
      </c>
      <c r="F5" t="s">
        <v>16</v>
      </c>
      <c r="G5" t="s">
        <v>17</v>
      </c>
      <c r="H5">
        <v>2</v>
      </c>
      <c r="I5">
        <v>0</v>
      </c>
      <c r="J5">
        <v>0</v>
      </c>
      <c r="K5">
        <v>66</v>
      </c>
      <c r="L5">
        <v>66</v>
      </c>
      <c r="M5">
        <v>3.0303030303030304E-2</v>
      </c>
    </row>
    <row r="6" spans="1:13" x14ac:dyDescent="0.35">
      <c r="A6" t="s">
        <v>144</v>
      </c>
      <c r="B6" t="s">
        <v>13</v>
      </c>
      <c r="C6" t="s">
        <v>151</v>
      </c>
      <c r="D6" t="s">
        <v>146</v>
      </c>
      <c r="E6" t="s">
        <v>147</v>
      </c>
      <c r="F6" t="s">
        <v>16</v>
      </c>
      <c r="G6" t="s">
        <v>17</v>
      </c>
      <c r="H6">
        <v>0</v>
      </c>
      <c r="I6">
        <v>0</v>
      </c>
      <c r="J6">
        <v>0</v>
      </c>
      <c r="K6">
        <v>28</v>
      </c>
      <c r="L6">
        <v>28</v>
      </c>
      <c r="M6">
        <v>0</v>
      </c>
    </row>
    <row r="7" spans="1:13" x14ac:dyDescent="0.35">
      <c r="A7" t="s">
        <v>144</v>
      </c>
      <c r="B7" t="s">
        <v>13</v>
      </c>
      <c r="C7" t="s">
        <v>152</v>
      </c>
      <c r="D7" t="s">
        <v>146</v>
      </c>
      <c r="E7" t="s">
        <v>147</v>
      </c>
      <c r="F7" t="s">
        <v>16</v>
      </c>
      <c r="G7" t="s">
        <v>17</v>
      </c>
      <c r="H7">
        <v>3</v>
      </c>
      <c r="I7">
        <v>0</v>
      </c>
      <c r="J7">
        <v>2</v>
      </c>
      <c r="K7">
        <v>26</v>
      </c>
      <c r="L7">
        <v>26</v>
      </c>
      <c r="M7">
        <v>0.11538461538461539</v>
      </c>
    </row>
    <row r="8" spans="1:13" x14ac:dyDescent="0.35">
      <c r="A8" t="s">
        <v>144</v>
      </c>
      <c r="B8" t="s">
        <v>13</v>
      </c>
      <c r="C8" t="s">
        <v>153</v>
      </c>
      <c r="D8" t="s">
        <v>146</v>
      </c>
      <c r="E8" t="s">
        <v>147</v>
      </c>
      <c r="F8" t="s">
        <v>16</v>
      </c>
      <c r="G8" t="s">
        <v>17</v>
      </c>
      <c r="H8">
        <v>2</v>
      </c>
      <c r="I8">
        <v>0</v>
      </c>
      <c r="J8">
        <v>0</v>
      </c>
      <c r="K8">
        <v>18</v>
      </c>
      <c r="L8">
        <v>17</v>
      </c>
      <c r="M8">
        <v>0.11764705882352941</v>
      </c>
    </row>
    <row r="9" spans="1:13" x14ac:dyDescent="0.35">
      <c r="A9" t="s">
        <v>144</v>
      </c>
      <c r="B9" t="s">
        <v>13</v>
      </c>
      <c r="C9" t="s">
        <v>154</v>
      </c>
      <c r="D9" t="s">
        <v>146</v>
      </c>
      <c r="E9" t="s">
        <v>147</v>
      </c>
      <c r="F9" t="s">
        <v>16</v>
      </c>
      <c r="G9" t="s">
        <v>17</v>
      </c>
      <c r="H9">
        <v>0</v>
      </c>
      <c r="I9">
        <v>0</v>
      </c>
      <c r="J9">
        <v>0</v>
      </c>
      <c r="K9">
        <v>10</v>
      </c>
      <c r="L9">
        <v>10</v>
      </c>
      <c r="M9">
        <v>0</v>
      </c>
    </row>
    <row r="10" spans="1:13" x14ac:dyDescent="0.35">
      <c r="A10" t="s">
        <v>144</v>
      </c>
      <c r="B10" t="s">
        <v>13</v>
      </c>
      <c r="C10" t="s">
        <v>155</v>
      </c>
      <c r="D10" t="s">
        <v>146</v>
      </c>
      <c r="E10" t="s">
        <v>147</v>
      </c>
      <c r="F10" t="s">
        <v>16</v>
      </c>
      <c r="G10" t="s">
        <v>17</v>
      </c>
      <c r="H10">
        <v>0</v>
      </c>
      <c r="I10">
        <v>0</v>
      </c>
      <c r="J10">
        <v>0</v>
      </c>
      <c r="K10">
        <v>69</v>
      </c>
      <c r="L10">
        <v>69</v>
      </c>
      <c r="M10">
        <v>0</v>
      </c>
    </row>
    <row r="11" spans="1:13" x14ac:dyDescent="0.35">
      <c r="A11" t="s">
        <v>144</v>
      </c>
      <c r="B11" t="s">
        <v>13</v>
      </c>
      <c r="C11" t="s">
        <v>156</v>
      </c>
      <c r="D11" t="s">
        <v>146</v>
      </c>
      <c r="E11" t="s">
        <v>147</v>
      </c>
      <c r="F11" t="s">
        <v>16</v>
      </c>
      <c r="G11" t="s">
        <v>17</v>
      </c>
      <c r="H11">
        <v>4</v>
      </c>
      <c r="I11">
        <v>0</v>
      </c>
      <c r="J11">
        <v>3</v>
      </c>
      <c r="K11">
        <v>29</v>
      </c>
      <c r="L11">
        <v>29</v>
      </c>
      <c r="M11">
        <v>0.13793103448275862</v>
      </c>
    </row>
    <row r="12" spans="1:13" x14ac:dyDescent="0.35">
      <c r="A12" t="s">
        <v>144</v>
      </c>
      <c r="B12" t="s">
        <v>13</v>
      </c>
      <c r="C12" t="s">
        <v>157</v>
      </c>
      <c r="D12" t="s">
        <v>146</v>
      </c>
      <c r="E12" t="s">
        <v>147</v>
      </c>
      <c r="F12" t="s">
        <v>16</v>
      </c>
      <c r="G12" t="s">
        <v>17</v>
      </c>
      <c r="H12">
        <v>4</v>
      </c>
      <c r="I12">
        <v>0</v>
      </c>
      <c r="J12">
        <v>1</v>
      </c>
      <c r="K12">
        <v>833</v>
      </c>
      <c r="L12">
        <v>788</v>
      </c>
      <c r="M12">
        <v>5.076142131979695E-3</v>
      </c>
    </row>
    <row r="13" spans="1:13" x14ac:dyDescent="0.35">
      <c r="A13" t="s">
        <v>144</v>
      </c>
      <c r="B13" t="s">
        <v>13</v>
      </c>
      <c r="C13" t="s">
        <v>158</v>
      </c>
      <c r="D13" t="s">
        <v>146</v>
      </c>
      <c r="E13" t="s">
        <v>147</v>
      </c>
      <c r="F13" t="s">
        <v>16</v>
      </c>
      <c r="G13" t="s">
        <v>17</v>
      </c>
      <c r="H13">
        <v>1</v>
      </c>
      <c r="I13">
        <v>0</v>
      </c>
      <c r="J13">
        <v>0</v>
      </c>
      <c r="K13">
        <v>630</v>
      </c>
      <c r="L13">
        <v>630</v>
      </c>
      <c r="M13">
        <v>1.5873015873015873E-3</v>
      </c>
    </row>
    <row r="14" spans="1:13" x14ac:dyDescent="0.35">
      <c r="A14" t="s">
        <v>144</v>
      </c>
      <c r="B14" t="s">
        <v>13</v>
      </c>
      <c r="C14" t="s">
        <v>149</v>
      </c>
      <c r="D14" t="s">
        <v>146</v>
      </c>
      <c r="E14" t="s">
        <v>159</v>
      </c>
      <c r="F14" t="s">
        <v>18</v>
      </c>
      <c r="G14" t="s">
        <v>19</v>
      </c>
      <c r="H14">
        <v>0</v>
      </c>
      <c r="I14">
        <v>0</v>
      </c>
      <c r="J14">
        <v>0</v>
      </c>
      <c r="K14">
        <v>186</v>
      </c>
      <c r="L14">
        <v>184</v>
      </c>
      <c r="M14">
        <v>0</v>
      </c>
    </row>
    <row r="15" spans="1:13" x14ac:dyDescent="0.35">
      <c r="A15" t="s">
        <v>144</v>
      </c>
      <c r="B15" t="s">
        <v>13</v>
      </c>
      <c r="C15" t="s">
        <v>150</v>
      </c>
      <c r="D15" t="s">
        <v>146</v>
      </c>
      <c r="E15" t="s">
        <v>159</v>
      </c>
      <c r="F15" t="s">
        <v>18</v>
      </c>
      <c r="G15" t="s">
        <v>19</v>
      </c>
      <c r="H15">
        <v>0</v>
      </c>
      <c r="I15">
        <v>0</v>
      </c>
      <c r="J15">
        <v>0</v>
      </c>
      <c r="K15">
        <v>103</v>
      </c>
      <c r="L15">
        <v>101</v>
      </c>
      <c r="M15">
        <v>0</v>
      </c>
    </row>
    <row r="16" spans="1:13" x14ac:dyDescent="0.35">
      <c r="A16" t="s">
        <v>144</v>
      </c>
      <c r="B16" t="s">
        <v>13</v>
      </c>
      <c r="C16" t="s">
        <v>151</v>
      </c>
      <c r="D16" t="s">
        <v>146</v>
      </c>
      <c r="E16" t="s">
        <v>159</v>
      </c>
      <c r="F16" t="s">
        <v>18</v>
      </c>
      <c r="G16" t="s">
        <v>19</v>
      </c>
      <c r="H16">
        <v>4</v>
      </c>
      <c r="I16">
        <v>0</v>
      </c>
      <c r="J16">
        <v>1</v>
      </c>
      <c r="K16">
        <v>54</v>
      </c>
      <c r="L16">
        <v>52</v>
      </c>
      <c r="M16">
        <v>7.6923076923076927E-2</v>
      </c>
    </row>
    <row r="17" spans="1:13" x14ac:dyDescent="0.35">
      <c r="A17" t="s">
        <v>144</v>
      </c>
      <c r="B17" t="s">
        <v>13</v>
      </c>
      <c r="C17" t="s">
        <v>152</v>
      </c>
      <c r="D17" t="s">
        <v>146</v>
      </c>
      <c r="E17" t="s">
        <v>159</v>
      </c>
      <c r="F17" t="s">
        <v>18</v>
      </c>
      <c r="G17" t="s">
        <v>19</v>
      </c>
      <c r="H17">
        <v>7</v>
      </c>
      <c r="I17">
        <v>0</v>
      </c>
      <c r="J17">
        <v>4</v>
      </c>
      <c r="K17">
        <v>33</v>
      </c>
      <c r="L17">
        <v>31</v>
      </c>
      <c r="M17">
        <v>0.22580645161290322</v>
      </c>
    </row>
    <row r="18" spans="1:13" x14ac:dyDescent="0.35">
      <c r="A18" t="s">
        <v>144</v>
      </c>
      <c r="B18" t="s">
        <v>13</v>
      </c>
      <c r="C18" t="s">
        <v>153</v>
      </c>
      <c r="D18" t="s">
        <v>146</v>
      </c>
      <c r="E18" t="s">
        <v>159</v>
      </c>
      <c r="F18" t="s">
        <v>18</v>
      </c>
      <c r="G18" t="s">
        <v>19</v>
      </c>
      <c r="H18">
        <v>0</v>
      </c>
      <c r="I18">
        <v>0</v>
      </c>
      <c r="J18">
        <v>0</v>
      </c>
      <c r="K18">
        <v>32</v>
      </c>
      <c r="L18">
        <v>29</v>
      </c>
      <c r="M18">
        <v>0</v>
      </c>
    </row>
    <row r="19" spans="1:13" x14ac:dyDescent="0.35">
      <c r="A19" t="s">
        <v>144</v>
      </c>
      <c r="B19" t="s">
        <v>13</v>
      </c>
      <c r="C19" t="s">
        <v>154</v>
      </c>
      <c r="D19" t="s">
        <v>146</v>
      </c>
      <c r="E19" t="s">
        <v>159</v>
      </c>
      <c r="F19" t="s">
        <v>18</v>
      </c>
      <c r="G19" t="s">
        <v>19</v>
      </c>
      <c r="H19">
        <v>0</v>
      </c>
      <c r="I19">
        <v>0</v>
      </c>
      <c r="J19">
        <v>0</v>
      </c>
      <c r="K19">
        <v>9</v>
      </c>
      <c r="L19">
        <v>8</v>
      </c>
      <c r="M19">
        <v>0</v>
      </c>
    </row>
    <row r="20" spans="1:13" x14ac:dyDescent="0.35">
      <c r="A20" t="s">
        <v>144</v>
      </c>
      <c r="B20" t="s">
        <v>13</v>
      </c>
      <c r="C20" t="s">
        <v>148</v>
      </c>
      <c r="D20" t="s">
        <v>146</v>
      </c>
      <c r="E20" t="s">
        <v>159</v>
      </c>
      <c r="F20" t="s">
        <v>18</v>
      </c>
      <c r="G20" t="s">
        <v>19</v>
      </c>
      <c r="H20">
        <v>2</v>
      </c>
      <c r="I20">
        <v>0</v>
      </c>
      <c r="J20">
        <v>0</v>
      </c>
      <c r="K20">
        <v>224</v>
      </c>
      <c r="L20">
        <v>221</v>
      </c>
      <c r="M20">
        <v>9.0497737556561094E-3</v>
      </c>
    </row>
    <row r="21" spans="1:13" x14ac:dyDescent="0.35">
      <c r="A21" t="s">
        <v>144</v>
      </c>
      <c r="B21" t="s">
        <v>13</v>
      </c>
      <c r="C21" t="s">
        <v>155</v>
      </c>
      <c r="D21" t="s">
        <v>146</v>
      </c>
      <c r="E21" t="s">
        <v>159</v>
      </c>
      <c r="F21" t="s">
        <v>18</v>
      </c>
      <c r="G21" t="s">
        <v>19</v>
      </c>
      <c r="H21">
        <v>0</v>
      </c>
      <c r="I21">
        <v>0</v>
      </c>
      <c r="J21">
        <v>0</v>
      </c>
      <c r="K21">
        <v>103</v>
      </c>
      <c r="L21">
        <v>103</v>
      </c>
      <c r="M21">
        <v>0</v>
      </c>
    </row>
    <row r="22" spans="1:13" x14ac:dyDescent="0.35">
      <c r="A22" t="s">
        <v>144</v>
      </c>
      <c r="B22" t="s">
        <v>13</v>
      </c>
      <c r="C22" t="s">
        <v>156</v>
      </c>
      <c r="D22" t="s">
        <v>146</v>
      </c>
      <c r="E22" t="s">
        <v>159</v>
      </c>
      <c r="F22" t="s">
        <v>18</v>
      </c>
      <c r="G22" t="s">
        <v>19</v>
      </c>
      <c r="H22">
        <v>4</v>
      </c>
      <c r="I22">
        <v>0</v>
      </c>
      <c r="J22">
        <v>3</v>
      </c>
      <c r="K22">
        <v>32</v>
      </c>
      <c r="L22">
        <v>32</v>
      </c>
      <c r="M22">
        <v>0.125</v>
      </c>
    </row>
    <row r="23" spans="1:13" x14ac:dyDescent="0.35">
      <c r="A23" t="s">
        <v>144</v>
      </c>
      <c r="B23" t="s">
        <v>13</v>
      </c>
      <c r="C23" t="s">
        <v>157</v>
      </c>
      <c r="D23" t="s">
        <v>146</v>
      </c>
      <c r="E23" t="s">
        <v>159</v>
      </c>
      <c r="F23" t="s">
        <v>18</v>
      </c>
      <c r="G23" t="s">
        <v>19</v>
      </c>
      <c r="H23">
        <v>7</v>
      </c>
      <c r="I23">
        <v>0</v>
      </c>
      <c r="J23">
        <v>2</v>
      </c>
      <c r="K23">
        <v>929</v>
      </c>
      <c r="L23">
        <v>866</v>
      </c>
      <c r="M23">
        <v>8.0831408775981529E-3</v>
      </c>
    </row>
    <row r="24" spans="1:13" x14ac:dyDescent="0.35">
      <c r="A24" t="s">
        <v>144</v>
      </c>
      <c r="B24" t="s">
        <v>13</v>
      </c>
      <c r="C24" t="s">
        <v>158</v>
      </c>
      <c r="D24" t="s">
        <v>146</v>
      </c>
      <c r="E24" t="s">
        <v>159</v>
      </c>
      <c r="F24" t="s">
        <v>18</v>
      </c>
      <c r="G24" t="s">
        <v>19</v>
      </c>
      <c r="H24">
        <v>9</v>
      </c>
      <c r="I24">
        <v>0</v>
      </c>
      <c r="J24">
        <v>3</v>
      </c>
      <c r="K24">
        <v>949</v>
      </c>
      <c r="L24">
        <v>934</v>
      </c>
      <c r="M24">
        <v>9.6359743040685224E-3</v>
      </c>
    </row>
    <row r="25" spans="1:13" x14ac:dyDescent="0.35">
      <c r="A25" t="s">
        <v>144</v>
      </c>
      <c r="B25" t="s">
        <v>13</v>
      </c>
      <c r="C25" t="s">
        <v>154</v>
      </c>
      <c r="D25" t="s">
        <v>146</v>
      </c>
      <c r="E25" t="s">
        <v>160</v>
      </c>
      <c r="F25" t="s">
        <v>16</v>
      </c>
      <c r="G25" t="s">
        <v>20</v>
      </c>
      <c r="H25">
        <v>2</v>
      </c>
      <c r="I25">
        <v>0</v>
      </c>
      <c r="J25">
        <v>1</v>
      </c>
      <c r="K25">
        <v>22</v>
      </c>
      <c r="L25">
        <v>21</v>
      </c>
      <c r="M25">
        <v>9.5238095238095233E-2</v>
      </c>
    </row>
    <row r="26" spans="1:13" x14ac:dyDescent="0.35">
      <c r="A26" t="s">
        <v>144</v>
      </c>
      <c r="B26" t="s">
        <v>13</v>
      </c>
      <c r="C26" t="s">
        <v>149</v>
      </c>
      <c r="D26" t="s">
        <v>146</v>
      </c>
      <c r="E26" t="s">
        <v>160</v>
      </c>
      <c r="F26" t="s">
        <v>16</v>
      </c>
      <c r="G26" t="s">
        <v>20</v>
      </c>
      <c r="H26">
        <v>0</v>
      </c>
      <c r="I26">
        <v>0</v>
      </c>
      <c r="J26">
        <v>0</v>
      </c>
      <c r="K26">
        <v>204</v>
      </c>
      <c r="L26">
        <v>201</v>
      </c>
      <c r="M26">
        <v>0</v>
      </c>
    </row>
    <row r="27" spans="1:13" x14ac:dyDescent="0.35">
      <c r="A27" t="s">
        <v>144</v>
      </c>
      <c r="B27" t="s">
        <v>13</v>
      </c>
      <c r="C27" t="s">
        <v>152</v>
      </c>
      <c r="D27" t="s">
        <v>146</v>
      </c>
      <c r="E27" t="s">
        <v>160</v>
      </c>
      <c r="F27" t="s">
        <v>16</v>
      </c>
      <c r="G27" t="s">
        <v>20</v>
      </c>
      <c r="H27">
        <v>5</v>
      </c>
      <c r="I27">
        <v>0</v>
      </c>
      <c r="J27">
        <v>4</v>
      </c>
      <c r="K27">
        <v>27</v>
      </c>
      <c r="L27">
        <v>24</v>
      </c>
      <c r="M27">
        <v>0.20833333333333334</v>
      </c>
    </row>
    <row r="28" spans="1:13" x14ac:dyDescent="0.35">
      <c r="A28" t="s">
        <v>144</v>
      </c>
      <c r="B28" t="s">
        <v>13</v>
      </c>
      <c r="C28" t="s">
        <v>156</v>
      </c>
      <c r="D28" t="s">
        <v>146</v>
      </c>
      <c r="E28" t="s">
        <v>160</v>
      </c>
      <c r="F28" t="s">
        <v>16</v>
      </c>
      <c r="G28" t="s">
        <v>20</v>
      </c>
      <c r="H28">
        <v>1</v>
      </c>
      <c r="I28">
        <v>0</v>
      </c>
      <c r="J28">
        <v>1</v>
      </c>
      <c r="K28">
        <v>26</v>
      </c>
      <c r="L28">
        <v>25</v>
      </c>
      <c r="M28">
        <v>0.04</v>
      </c>
    </row>
    <row r="29" spans="1:13" x14ac:dyDescent="0.35">
      <c r="A29" t="s">
        <v>144</v>
      </c>
      <c r="B29" t="s">
        <v>13</v>
      </c>
      <c r="C29" t="s">
        <v>150</v>
      </c>
      <c r="D29" t="s">
        <v>146</v>
      </c>
      <c r="E29" t="s">
        <v>160</v>
      </c>
      <c r="F29" t="s">
        <v>16</v>
      </c>
      <c r="G29" t="s">
        <v>20</v>
      </c>
      <c r="H29">
        <v>0</v>
      </c>
      <c r="I29">
        <v>0</v>
      </c>
      <c r="J29">
        <v>0</v>
      </c>
      <c r="K29">
        <v>81</v>
      </c>
      <c r="L29">
        <v>80</v>
      </c>
      <c r="M29">
        <v>0</v>
      </c>
    </row>
    <row r="30" spans="1:13" x14ac:dyDescent="0.35">
      <c r="A30" t="s">
        <v>144</v>
      </c>
      <c r="B30" t="s">
        <v>13</v>
      </c>
      <c r="C30" t="s">
        <v>148</v>
      </c>
      <c r="D30" t="s">
        <v>146</v>
      </c>
      <c r="E30" t="s">
        <v>160</v>
      </c>
      <c r="F30" t="s">
        <v>16</v>
      </c>
      <c r="G30" t="s">
        <v>20</v>
      </c>
      <c r="H30">
        <v>2</v>
      </c>
      <c r="I30">
        <v>0</v>
      </c>
      <c r="J30">
        <v>2</v>
      </c>
      <c r="K30">
        <v>307</v>
      </c>
      <c r="L30">
        <v>302</v>
      </c>
      <c r="M30">
        <v>6.6225165562913907E-3</v>
      </c>
    </row>
    <row r="31" spans="1:13" x14ac:dyDescent="0.35">
      <c r="A31" t="s">
        <v>144</v>
      </c>
      <c r="B31" t="s">
        <v>13</v>
      </c>
      <c r="C31" t="s">
        <v>158</v>
      </c>
      <c r="D31" t="s">
        <v>146</v>
      </c>
      <c r="E31" t="s">
        <v>160</v>
      </c>
      <c r="F31" t="s">
        <v>16</v>
      </c>
      <c r="G31" t="s">
        <v>20</v>
      </c>
      <c r="H31">
        <v>3</v>
      </c>
      <c r="I31">
        <v>0</v>
      </c>
      <c r="J31">
        <v>1</v>
      </c>
      <c r="K31">
        <v>740</v>
      </c>
      <c r="L31">
        <v>740</v>
      </c>
      <c r="M31">
        <v>4.0540540540540543E-3</v>
      </c>
    </row>
    <row r="32" spans="1:13" x14ac:dyDescent="0.35">
      <c r="A32" t="s">
        <v>144</v>
      </c>
      <c r="B32" t="s">
        <v>13</v>
      </c>
      <c r="C32" t="s">
        <v>155</v>
      </c>
      <c r="D32" t="s">
        <v>146</v>
      </c>
      <c r="E32" t="s">
        <v>160</v>
      </c>
      <c r="F32" t="s">
        <v>16</v>
      </c>
      <c r="G32" t="s">
        <v>20</v>
      </c>
      <c r="H32">
        <v>0</v>
      </c>
      <c r="I32">
        <v>0</v>
      </c>
      <c r="J32">
        <v>0</v>
      </c>
      <c r="K32">
        <v>77</v>
      </c>
      <c r="L32">
        <v>77</v>
      </c>
      <c r="M32">
        <v>0</v>
      </c>
    </row>
    <row r="33" spans="1:13" x14ac:dyDescent="0.35">
      <c r="A33" t="s">
        <v>144</v>
      </c>
      <c r="B33" t="s">
        <v>13</v>
      </c>
      <c r="C33" t="s">
        <v>157</v>
      </c>
      <c r="D33" t="s">
        <v>146</v>
      </c>
      <c r="E33" t="s">
        <v>160</v>
      </c>
      <c r="F33" t="s">
        <v>16</v>
      </c>
      <c r="G33" t="s">
        <v>20</v>
      </c>
      <c r="H33">
        <v>11</v>
      </c>
      <c r="I33">
        <v>0</v>
      </c>
      <c r="J33">
        <v>2</v>
      </c>
      <c r="K33">
        <v>946</v>
      </c>
      <c r="L33">
        <v>900</v>
      </c>
      <c r="M33">
        <v>1.2222222222222223E-2</v>
      </c>
    </row>
    <row r="34" spans="1:13" x14ac:dyDescent="0.35">
      <c r="A34" t="s">
        <v>144</v>
      </c>
      <c r="B34" t="s">
        <v>13</v>
      </c>
      <c r="C34" t="s">
        <v>151</v>
      </c>
      <c r="D34" t="s">
        <v>146</v>
      </c>
      <c r="E34" t="s">
        <v>160</v>
      </c>
      <c r="F34" t="s">
        <v>16</v>
      </c>
      <c r="G34" t="s">
        <v>20</v>
      </c>
      <c r="H34">
        <v>1</v>
      </c>
      <c r="I34">
        <v>0</v>
      </c>
      <c r="J34">
        <v>1</v>
      </c>
      <c r="K34">
        <v>33</v>
      </c>
      <c r="L34">
        <v>33</v>
      </c>
      <c r="M34">
        <v>3.0303030303030304E-2</v>
      </c>
    </row>
    <row r="35" spans="1:13" x14ac:dyDescent="0.35">
      <c r="A35" t="s">
        <v>144</v>
      </c>
      <c r="B35" t="s">
        <v>13</v>
      </c>
      <c r="C35" t="s">
        <v>153</v>
      </c>
      <c r="D35" t="s">
        <v>146</v>
      </c>
      <c r="E35" t="s">
        <v>160</v>
      </c>
      <c r="F35" t="s">
        <v>16</v>
      </c>
      <c r="G35" t="s">
        <v>20</v>
      </c>
      <c r="H35">
        <v>0</v>
      </c>
      <c r="I35">
        <v>0</v>
      </c>
      <c r="J35">
        <v>0</v>
      </c>
      <c r="K35">
        <v>31</v>
      </c>
      <c r="L35">
        <v>28</v>
      </c>
      <c r="M35">
        <v>0</v>
      </c>
    </row>
    <row r="36" spans="1:13" x14ac:dyDescent="0.35">
      <c r="A36" t="s">
        <v>144</v>
      </c>
      <c r="B36" t="s">
        <v>13</v>
      </c>
      <c r="C36" t="s">
        <v>145</v>
      </c>
      <c r="D36" t="s">
        <v>146</v>
      </c>
      <c r="E36" t="s">
        <v>161</v>
      </c>
      <c r="F36" t="s">
        <v>28</v>
      </c>
      <c r="G36" t="s">
        <v>29</v>
      </c>
      <c r="H36">
        <v>3</v>
      </c>
      <c r="I36">
        <v>0</v>
      </c>
      <c r="J36">
        <v>0</v>
      </c>
      <c r="K36">
        <v>31</v>
      </c>
      <c r="L36">
        <v>27</v>
      </c>
      <c r="M36">
        <v>0.1111111111111111</v>
      </c>
    </row>
    <row r="37" spans="1:13" x14ac:dyDescent="0.35">
      <c r="A37" t="s">
        <v>144</v>
      </c>
      <c r="B37" t="s">
        <v>13</v>
      </c>
      <c r="C37" t="s">
        <v>149</v>
      </c>
      <c r="D37" t="s">
        <v>162</v>
      </c>
      <c r="E37" t="s">
        <v>163</v>
      </c>
      <c r="F37" t="s">
        <v>21</v>
      </c>
      <c r="G37" t="s">
        <v>164</v>
      </c>
      <c r="H37">
        <v>2</v>
      </c>
      <c r="I37">
        <v>0</v>
      </c>
      <c r="J37">
        <v>0</v>
      </c>
      <c r="K37">
        <v>619</v>
      </c>
      <c r="L37">
        <v>573</v>
      </c>
      <c r="M37">
        <v>3.4904013961605585E-3</v>
      </c>
    </row>
    <row r="38" spans="1:13" x14ac:dyDescent="0.35">
      <c r="A38" t="s">
        <v>144</v>
      </c>
      <c r="B38" t="s">
        <v>13</v>
      </c>
      <c r="C38" t="s">
        <v>157</v>
      </c>
      <c r="D38" t="s">
        <v>162</v>
      </c>
      <c r="E38" t="s">
        <v>163</v>
      </c>
      <c r="F38" t="s">
        <v>21</v>
      </c>
      <c r="G38" t="s">
        <v>164</v>
      </c>
      <c r="H38">
        <v>4</v>
      </c>
      <c r="I38">
        <v>0</v>
      </c>
      <c r="J38">
        <v>2</v>
      </c>
      <c r="K38">
        <v>1259</v>
      </c>
      <c r="L38">
        <v>1147</v>
      </c>
      <c r="M38">
        <v>3.4873583260680036E-3</v>
      </c>
    </row>
    <row r="39" spans="1:13" x14ac:dyDescent="0.35">
      <c r="A39" t="s">
        <v>144</v>
      </c>
      <c r="B39" t="s">
        <v>13</v>
      </c>
      <c r="C39" t="s">
        <v>152</v>
      </c>
      <c r="D39" t="s">
        <v>146</v>
      </c>
      <c r="E39" t="s">
        <v>165</v>
      </c>
      <c r="F39" t="s">
        <v>18</v>
      </c>
      <c r="G39" t="s">
        <v>23</v>
      </c>
      <c r="H39">
        <v>3</v>
      </c>
      <c r="I39">
        <v>0</v>
      </c>
      <c r="J39">
        <v>3</v>
      </c>
      <c r="K39">
        <v>26</v>
      </c>
      <c r="L39">
        <v>24</v>
      </c>
      <c r="M39">
        <v>0.125</v>
      </c>
    </row>
    <row r="40" spans="1:13" x14ac:dyDescent="0.35">
      <c r="A40" t="s">
        <v>144</v>
      </c>
      <c r="B40" t="s">
        <v>13</v>
      </c>
      <c r="C40" t="s">
        <v>149</v>
      </c>
      <c r="D40" t="s">
        <v>146</v>
      </c>
      <c r="E40" t="s">
        <v>166</v>
      </c>
      <c r="F40" t="s">
        <v>18</v>
      </c>
      <c r="G40" t="s">
        <v>23</v>
      </c>
      <c r="H40">
        <v>2</v>
      </c>
      <c r="I40">
        <v>0</v>
      </c>
      <c r="J40">
        <v>0</v>
      </c>
      <c r="K40">
        <v>218</v>
      </c>
      <c r="L40">
        <v>216</v>
      </c>
      <c r="M40">
        <v>9.2592592592592587E-3</v>
      </c>
    </row>
    <row r="41" spans="1:13" x14ac:dyDescent="0.35">
      <c r="A41" t="s">
        <v>144</v>
      </c>
      <c r="B41" t="s">
        <v>13</v>
      </c>
      <c r="C41" t="s">
        <v>150</v>
      </c>
      <c r="D41" t="s">
        <v>146</v>
      </c>
      <c r="E41" t="s">
        <v>166</v>
      </c>
      <c r="F41" t="s">
        <v>18</v>
      </c>
      <c r="G41" t="s">
        <v>23</v>
      </c>
      <c r="H41">
        <v>0</v>
      </c>
      <c r="I41">
        <v>0</v>
      </c>
      <c r="J41">
        <v>0</v>
      </c>
      <c r="K41">
        <v>85</v>
      </c>
      <c r="L41">
        <v>83</v>
      </c>
      <c r="M41">
        <v>0</v>
      </c>
    </row>
    <row r="42" spans="1:13" x14ac:dyDescent="0.35">
      <c r="A42" t="s">
        <v>144</v>
      </c>
      <c r="B42" t="s">
        <v>13</v>
      </c>
      <c r="C42" t="s">
        <v>151</v>
      </c>
      <c r="D42" t="s">
        <v>146</v>
      </c>
      <c r="E42" t="s">
        <v>166</v>
      </c>
      <c r="F42" t="s">
        <v>18</v>
      </c>
      <c r="G42" t="s">
        <v>23</v>
      </c>
      <c r="H42">
        <v>0</v>
      </c>
      <c r="I42">
        <v>0</v>
      </c>
      <c r="J42">
        <v>0</v>
      </c>
      <c r="K42">
        <v>33</v>
      </c>
      <c r="L42">
        <v>32</v>
      </c>
      <c r="M42">
        <v>0</v>
      </c>
    </row>
    <row r="43" spans="1:13" x14ac:dyDescent="0.35">
      <c r="A43" t="s">
        <v>144</v>
      </c>
      <c r="B43" t="s">
        <v>13</v>
      </c>
      <c r="C43" t="s">
        <v>153</v>
      </c>
      <c r="D43" t="s">
        <v>146</v>
      </c>
      <c r="E43" t="s">
        <v>166</v>
      </c>
      <c r="F43" t="s">
        <v>18</v>
      </c>
      <c r="G43" t="s">
        <v>23</v>
      </c>
      <c r="H43">
        <v>3</v>
      </c>
      <c r="I43">
        <v>0</v>
      </c>
      <c r="J43">
        <v>1</v>
      </c>
      <c r="K43">
        <v>30</v>
      </c>
      <c r="L43">
        <v>29</v>
      </c>
      <c r="M43">
        <v>0.10344827586206896</v>
      </c>
    </row>
    <row r="44" spans="1:13" x14ac:dyDescent="0.35">
      <c r="A44" t="s">
        <v>144</v>
      </c>
      <c r="B44" t="s">
        <v>13</v>
      </c>
      <c r="C44" t="s">
        <v>154</v>
      </c>
      <c r="D44" t="s">
        <v>146</v>
      </c>
      <c r="E44" t="s">
        <v>166</v>
      </c>
      <c r="F44" t="s">
        <v>18</v>
      </c>
      <c r="G44" t="s">
        <v>23</v>
      </c>
      <c r="H44">
        <v>0</v>
      </c>
      <c r="I44">
        <v>0</v>
      </c>
      <c r="J44">
        <v>0</v>
      </c>
      <c r="K44">
        <v>19</v>
      </c>
      <c r="L44">
        <v>18</v>
      </c>
      <c r="M44">
        <v>0</v>
      </c>
    </row>
    <row r="45" spans="1:13" x14ac:dyDescent="0.35">
      <c r="A45" t="s">
        <v>144</v>
      </c>
      <c r="B45" t="s">
        <v>13</v>
      </c>
      <c r="C45" t="s">
        <v>148</v>
      </c>
      <c r="D45" t="s">
        <v>146</v>
      </c>
      <c r="E45" t="s">
        <v>166</v>
      </c>
      <c r="F45" t="s">
        <v>18</v>
      </c>
      <c r="G45" t="s">
        <v>23</v>
      </c>
      <c r="H45">
        <v>8</v>
      </c>
      <c r="I45">
        <v>2</v>
      </c>
      <c r="J45">
        <v>3</v>
      </c>
      <c r="K45">
        <v>202</v>
      </c>
      <c r="L45">
        <v>198</v>
      </c>
      <c r="M45">
        <v>4.0404040404040407E-2</v>
      </c>
    </row>
    <row r="46" spans="1:13" x14ac:dyDescent="0.35">
      <c r="A46" t="s">
        <v>144</v>
      </c>
      <c r="B46" t="s">
        <v>13</v>
      </c>
      <c r="C46" t="s">
        <v>155</v>
      </c>
      <c r="D46" t="s">
        <v>146</v>
      </c>
      <c r="E46" t="s">
        <v>166</v>
      </c>
      <c r="F46" t="s">
        <v>18</v>
      </c>
      <c r="G46" t="s">
        <v>23</v>
      </c>
      <c r="H46">
        <v>0</v>
      </c>
      <c r="I46">
        <v>0</v>
      </c>
      <c r="J46">
        <v>0</v>
      </c>
      <c r="K46">
        <v>114</v>
      </c>
      <c r="L46">
        <v>113</v>
      </c>
      <c r="M46">
        <v>0</v>
      </c>
    </row>
    <row r="47" spans="1:13" x14ac:dyDescent="0.35">
      <c r="A47" t="s">
        <v>144</v>
      </c>
      <c r="B47" t="s">
        <v>13</v>
      </c>
      <c r="C47" t="s">
        <v>156</v>
      </c>
      <c r="D47" t="s">
        <v>146</v>
      </c>
      <c r="E47" t="s">
        <v>166</v>
      </c>
      <c r="F47" t="s">
        <v>18</v>
      </c>
      <c r="G47" t="s">
        <v>23</v>
      </c>
      <c r="H47">
        <v>2</v>
      </c>
      <c r="I47">
        <v>0</v>
      </c>
      <c r="J47">
        <v>0</v>
      </c>
      <c r="K47">
        <v>31</v>
      </c>
      <c r="L47">
        <v>29</v>
      </c>
      <c r="M47">
        <v>6.8965517241379309E-2</v>
      </c>
    </row>
    <row r="48" spans="1:13" x14ac:dyDescent="0.35">
      <c r="A48" t="s">
        <v>144</v>
      </c>
      <c r="B48" t="s">
        <v>13</v>
      </c>
      <c r="C48" t="s">
        <v>157</v>
      </c>
      <c r="D48" t="s">
        <v>146</v>
      </c>
      <c r="E48" t="s">
        <v>166</v>
      </c>
      <c r="F48" t="s">
        <v>18</v>
      </c>
      <c r="G48" t="s">
        <v>23</v>
      </c>
      <c r="H48">
        <v>6</v>
      </c>
      <c r="I48">
        <v>0</v>
      </c>
      <c r="J48">
        <v>0</v>
      </c>
      <c r="K48">
        <v>786</v>
      </c>
      <c r="L48">
        <v>734</v>
      </c>
      <c r="M48">
        <v>8.1743869209809257E-3</v>
      </c>
    </row>
    <row r="49" spans="1:13" x14ac:dyDescent="0.35">
      <c r="A49" t="s">
        <v>144</v>
      </c>
      <c r="B49" t="s">
        <v>13</v>
      </c>
      <c r="C49" t="s">
        <v>158</v>
      </c>
      <c r="D49" t="s">
        <v>146</v>
      </c>
      <c r="E49" t="s">
        <v>166</v>
      </c>
      <c r="F49" t="s">
        <v>18</v>
      </c>
      <c r="G49" t="s">
        <v>23</v>
      </c>
      <c r="H49">
        <v>6</v>
      </c>
      <c r="I49">
        <v>1</v>
      </c>
      <c r="J49">
        <v>1</v>
      </c>
      <c r="K49">
        <v>766</v>
      </c>
      <c r="L49">
        <v>749</v>
      </c>
      <c r="M49">
        <v>8.0106809078771702E-3</v>
      </c>
    </row>
    <row r="50" spans="1:13" x14ac:dyDescent="0.35">
      <c r="A50" t="s">
        <v>144</v>
      </c>
      <c r="B50" t="s">
        <v>13</v>
      </c>
      <c r="C50" t="s">
        <v>148</v>
      </c>
      <c r="D50" t="s">
        <v>146</v>
      </c>
      <c r="E50" t="s">
        <v>167</v>
      </c>
      <c r="F50" t="s">
        <v>21</v>
      </c>
      <c r="G50" t="s">
        <v>164</v>
      </c>
      <c r="H50">
        <v>15</v>
      </c>
      <c r="I50">
        <v>1</v>
      </c>
      <c r="J50">
        <v>2</v>
      </c>
      <c r="K50">
        <v>256</v>
      </c>
      <c r="L50">
        <v>248</v>
      </c>
      <c r="M50">
        <v>6.0483870967741937E-2</v>
      </c>
    </row>
    <row r="51" spans="1:13" x14ac:dyDescent="0.35">
      <c r="A51" t="s">
        <v>144</v>
      </c>
      <c r="B51" t="s">
        <v>13</v>
      </c>
      <c r="C51" t="s">
        <v>149</v>
      </c>
      <c r="D51" t="s">
        <v>146</v>
      </c>
      <c r="E51" t="s">
        <v>168</v>
      </c>
      <c r="F51" t="s">
        <v>16</v>
      </c>
      <c r="G51" t="s">
        <v>17</v>
      </c>
      <c r="H51">
        <v>0</v>
      </c>
      <c r="I51">
        <v>0</v>
      </c>
      <c r="J51">
        <v>0</v>
      </c>
      <c r="K51">
        <v>208</v>
      </c>
      <c r="L51">
        <v>205</v>
      </c>
      <c r="M51">
        <v>0</v>
      </c>
    </row>
    <row r="52" spans="1:13" x14ac:dyDescent="0.35">
      <c r="A52" t="s">
        <v>144</v>
      </c>
      <c r="B52" t="s">
        <v>13</v>
      </c>
      <c r="C52" t="s">
        <v>150</v>
      </c>
      <c r="D52" t="s">
        <v>146</v>
      </c>
      <c r="E52" t="s">
        <v>168</v>
      </c>
      <c r="F52" t="s">
        <v>16</v>
      </c>
      <c r="G52" t="s">
        <v>17</v>
      </c>
      <c r="H52">
        <v>1</v>
      </c>
      <c r="I52">
        <v>0</v>
      </c>
      <c r="J52">
        <v>0</v>
      </c>
      <c r="K52">
        <v>107</v>
      </c>
      <c r="L52">
        <v>106</v>
      </c>
      <c r="M52">
        <v>9.433962264150943E-3</v>
      </c>
    </row>
    <row r="53" spans="1:13" x14ac:dyDescent="0.35">
      <c r="A53" t="s">
        <v>144</v>
      </c>
      <c r="B53" t="s">
        <v>13</v>
      </c>
      <c r="C53" t="s">
        <v>151</v>
      </c>
      <c r="D53" t="s">
        <v>146</v>
      </c>
      <c r="E53" t="s">
        <v>168</v>
      </c>
      <c r="F53" t="s">
        <v>16</v>
      </c>
      <c r="G53" t="s">
        <v>17</v>
      </c>
      <c r="H53">
        <v>56549</v>
      </c>
      <c r="I53">
        <v>0</v>
      </c>
      <c r="J53">
        <v>3</v>
      </c>
      <c r="K53">
        <v>284752</v>
      </c>
      <c r="L53">
        <v>272185</v>
      </c>
      <c r="M53">
        <v>0.20775942832999614</v>
      </c>
    </row>
    <row r="54" spans="1:13" x14ac:dyDescent="0.35">
      <c r="A54" t="s">
        <v>144</v>
      </c>
      <c r="B54" t="s">
        <v>13</v>
      </c>
      <c r="C54" t="s">
        <v>152</v>
      </c>
      <c r="D54" t="s">
        <v>146</v>
      </c>
      <c r="E54" t="s">
        <v>168</v>
      </c>
      <c r="F54" t="s">
        <v>16</v>
      </c>
      <c r="G54" t="s">
        <v>17</v>
      </c>
      <c r="H54">
        <v>6</v>
      </c>
      <c r="I54">
        <v>0</v>
      </c>
      <c r="J54">
        <v>4</v>
      </c>
      <c r="K54">
        <v>33</v>
      </c>
      <c r="L54">
        <v>27</v>
      </c>
      <c r="M54">
        <v>0.22222222222222221</v>
      </c>
    </row>
    <row r="55" spans="1:13" x14ac:dyDescent="0.35">
      <c r="A55" t="s">
        <v>144</v>
      </c>
      <c r="B55" t="s">
        <v>13</v>
      </c>
      <c r="C55" t="s">
        <v>153</v>
      </c>
      <c r="D55" t="s">
        <v>146</v>
      </c>
      <c r="E55" t="s">
        <v>168</v>
      </c>
      <c r="F55" t="s">
        <v>16</v>
      </c>
      <c r="G55" t="s">
        <v>17</v>
      </c>
      <c r="H55">
        <v>38454</v>
      </c>
      <c r="I55">
        <v>0</v>
      </c>
      <c r="J55">
        <v>4</v>
      </c>
      <c r="K55">
        <v>216279</v>
      </c>
      <c r="L55">
        <v>212898</v>
      </c>
      <c r="M55">
        <v>0.18062170616915144</v>
      </c>
    </row>
    <row r="56" spans="1:13" x14ac:dyDescent="0.35">
      <c r="A56" t="s">
        <v>144</v>
      </c>
      <c r="B56" t="s">
        <v>13</v>
      </c>
      <c r="C56" t="s">
        <v>154</v>
      </c>
      <c r="D56" t="s">
        <v>146</v>
      </c>
      <c r="E56" t="s">
        <v>168</v>
      </c>
      <c r="F56" t="s">
        <v>16</v>
      </c>
      <c r="G56" t="s">
        <v>17</v>
      </c>
      <c r="H56">
        <v>10208</v>
      </c>
      <c r="I56">
        <v>0</v>
      </c>
      <c r="J56">
        <v>2</v>
      </c>
      <c r="K56">
        <v>153777</v>
      </c>
      <c r="L56">
        <v>153777</v>
      </c>
      <c r="M56">
        <v>6.6381838636467086E-2</v>
      </c>
    </row>
    <row r="57" spans="1:13" x14ac:dyDescent="0.35">
      <c r="A57" t="s">
        <v>144</v>
      </c>
      <c r="B57" t="s">
        <v>13</v>
      </c>
      <c r="C57" t="s">
        <v>148</v>
      </c>
      <c r="D57" t="s">
        <v>146</v>
      </c>
      <c r="E57" t="s">
        <v>168</v>
      </c>
      <c r="F57" t="s">
        <v>16</v>
      </c>
      <c r="G57" t="s">
        <v>17</v>
      </c>
      <c r="H57">
        <v>14</v>
      </c>
      <c r="I57">
        <v>0</v>
      </c>
      <c r="J57">
        <v>3</v>
      </c>
      <c r="K57">
        <v>251</v>
      </c>
      <c r="L57">
        <v>242</v>
      </c>
      <c r="M57">
        <v>5.7851239669421489E-2</v>
      </c>
    </row>
    <row r="58" spans="1:13" x14ac:dyDescent="0.35">
      <c r="A58" t="s">
        <v>144</v>
      </c>
      <c r="B58" t="s">
        <v>13</v>
      </c>
      <c r="C58" t="s">
        <v>155</v>
      </c>
      <c r="D58" t="s">
        <v>146</v>
      </c>
      <c r="E58" t="s">
        <v>168</v>
      </c>
      <c r="F58" t="s">
        <v>16</v>
      </c>
      <c r="G58" t="s">
        <v>17</v>
      </c>
      <c r="H58">
        <v>0</v>
      </c>
      <c r="I58">
        <v>0</v>
      </c>
      <c r="J58">
        <v>0</v>
      </c>
      <c r="K58">
        <v>93</v>
      </c>
      <c r="L58">
        <v>93</v>
      </c>
      <c r="M58">
        <v>0</v>
      </c>
    </row>
    <row r="59" spans="1:13" x14ac:dyDescent="0.35">
      <c r="A59" t="s">
        <v>144</v>
      </c>
      <c r="B59" t="s">
        <v>13</v>
      </c>
      <c r="C59" t="s">
        <v>156</v>
      </c>
      <c r="D59" t="s">
        <v>146</v>
      </c>
      <c r="E59" t="s">
        <v>168</v>
      </c>
      <c r="F59" t="s">
        <v>16</v>
      </c>
      <c r="G59" t="s">
        <v>17</v>
      </c>
      <c r="H59">
        <v>1833</v>
      </c>
      <c r="I59">
        <v>2</v>
      </c>
      <c r="J59">
        <v>6</v>
      </c>
      <c r="K59">
        <v>123850</v>
      </c>
      <c r="L59">
        <v>123850</v>
      </c>
      <c r="M59">
        <v>1.4800161485668147E-2</v>
      </c>
    </row>
    <row r="60" spans="1:13" x14ac:dyDescent="0.35">
      <c r="A60" t="s">
        <v>144</v>
      </c>
      <c r="B60" t="s">
        <v>13</v>
      </c>
      <c r="C60" t="s">
        <v>157</v>
      </c>
      <c r="D60" t="s">
        <v>146</v>
      </c>
      <c r="E60" t="s">
        <v>168</v>
      </c>
      <c r="F60" t="s">
        <v>16</v>
      </c>
      <c r="G60" t="s">
        <v>17</v>
      </c>
      <c r="H60">
        <v>6</v>
      </c>
      <c r="I60">
        <v>0</v>
      </c>
      <c r="J60">
        <v>0</v>
      </c>
      <c r="K60">
        <v>834</v>
      </c>
      <c r="L60">
        <v>798</v>
      </c>
      <c r="M60">
        <v>7.5187969924812026E-3</v>
      </c>
    </row>
    <row r="61" spans="1:13" x14ac:dyDescent="0.35">
      <c r="A61" t="s">
        <v>144</v>
      </c>
      <c r="B61" t="s">
        <v>13</v>
      </c>
      <c r="C61" t="s">
        <v>158</v>
      </c>
      <c r="D61" t="s">
        <v>146</v>
      </c>
      <c r="E61" t="s">
        <v>168</v>
      </c>
      <c r="F61" t="s">
        <v>16</v>
      </c>
      <c r="G61" t="s">
        <v>17</v>
      </c>
      <c r="H61">
        <v>11</v>
      </c>
      <c r="I61">
        <v>0</v>
      </c>
      <c r="J61">
        <v>6</v>
      </c>
      <c r="K61">
        <v>952</v>
      </c>
      <c r="L61">
        <v>934</v>
      </c>
      <c r="M61">
        <v>1.1777301927194861E-2</v>
      </c>
    </row>
    <row r="62" spans="1:13" x14ac:dyDescent="0.35">
      <c r="A62" t="s">
        <v>144</v>
      </c>
      <c r="B62" t="s">
        <v>13</v>
      </c>
      <c r="C62" t="s">
        <v>145</v>
      </c>
      <c r="D62" t="s">
        <v>146</v>
      </c>
      <c r="E62" t="s">
        <v>168</v>
      </c>
      <c r="F62" t="s">
        <v>16</v>
      </c>
      <c r="G62" t="s">
        <v>17</v>
      </c>
      <c r="H62">
        <v>2</v>
      </c>
      <c r="I62">
        <v>0</v>
      </c>
      <c r="J62">
        <v>0</v>
      </c>
      <c r="K62">
        <v>9</v>
      </c>
      <c r="L62">
        <v>8</v>
      </c>
      <c r="M62">
        <v>0.25</v>
      </c>
    </row>
    <row r="63" spans="1:13" x14ac:dyDescent="0.35">
      <c r="A63" t="s">
        <v>144</v>
      </c>
      <c r="B63" t="s">
        <v>13</v>
      </c>
      <c r="C63" t="s">
        <v>152</v>
      </c>
      <c r="D63" t="s">
        <v>146</v>
      </c>
      <c r="E63" t="s">
        <v>169</v>
      </c>
      <c r="F63" t="s">
        <v>23</v>
      </c>
      <c r="G63" t="s">
        <v>18</v>
      </c>
      <c r="H63">
        <v>8</v>
      </c>
      <c r="I63">
        <v>0</v>
      </c>
      <c r="J63">
        <v>4</v>
      </c>
      <c r="K63">
        <v>30</v>
      </c>
      <c r="L63">
        <v>23</v>
      </c>
      <c r="M63">
        <v>0.34782608695652173</v>
      </c>
    </row>
    <row r="64" spans="1:13" x14ac:dyDescent="0.35">
      <c r="A64" t="s">
        <v>144</v>
      </c>
      <c r="B64" t="s">
        <v>13</v>
      </c>
      <c r="C64" t="s">
        <v>148</v>
      </c>
      <c r="D64" t="s">
        <v>146</v>
      </c>
      <c r="E64" t="s">
        <v>169</v>
      </c>
      <c r="F64" t="s">
        <v>23</v>
      </c>
      <c r="G64" t="s">
        <v>18</v>
      </c>
      <c r="H64">
        <v>5</v>
      </c>
      <c r="I64">
        <v>0</v>
      </c>
      <c r="J64">
        <v>1</v>
      </c>
      <c r="K64">
        <v>236</v>
      </c>
      <c r="L64">
        <v>232</v>
      </c>
      <c r="M64">
        <v>2.1551724137931036E-2</v>
      </c>
    </row>
    <row r="65" spans="1:13" x14ac:dyDescent="0.35">
      <c r="A65" t="s">
        <v>144</v>
      </c>
      <c r="B65" t="s">
        <v>13</v>
      </c>
      <c r="C65" t="s">
        <v>145</v>
      </c>
      <c r="D65" t="s">
        <v>146</v>
      </c>
      <c r="E65" t="s">
        <v>170</v>
      </c>
      <c r="F65" t="s">
        <v>28</v>
      </c>
      <c r="G65" t="s">
        <v>29</v>
      </c>
      <c r="H65">
        <v>5</v>
      </c>
      <c r="I65">
        <v>0</v>
      </c>
      <c r="J65">
        <v>0</v>
      </c>
      <c r="K65">
        <v>60</v>
      </c>
      <c r="L65">
        <v>51</v>
      </c>
      <c r="M65">
        <v>9.8039215686274508E-2</v>
      </c>
    </row>
    <row r="66" spans="1:13" x14ac:dyDescent="0.35">
      <c r="A66" t="s">
        <v>144</v>
      </c>
      <c r="B66" t="s">
        <v>13</v>
      </c>
      <c r="C66" t="s">
        <v>149</v>
      </c>
      <c r="D66" t="s">
        <v>146</v>
      </c>
      <c r="E66" t="s">
        <v>170</v>
      </c>
      <c r="F66" t="s">
        <v>16</v>
      </c>
      <c r="G66" t="s">
        <v>17</v>
      </c>
      <c r="H66">
        <v>3</v>
      </c>
      <c r="I66">
        <v>0</v>
      </c>
      <c r="J66">
        <v>0</v>
      </c>
      <c r="K66">
        <v>229</v>
      </c>
      <c r="L66">
        <v>222</v>
      </c>
      <c r="M66">
        <v>1.3513513513513514E-2</v>
      </c>
    </row>
    <row r="67" spans="1:13" x14ac:dyDescent="0.35">
      <c r="A67" t="s">
        <v>144</v>
      </c>
      <c r="B67" t="s">
        <v>13</v>
      </c>
      <c r="C67" t="s">
        <v>150</v>
      </c>
      <c r="D67" t="s">
        <v>146</v>
      </c>
      <c r="E67" t="s">
        <v>170</v>
      </c>
      <c r="F67" t="s">
        <v>16</v>
      </c>
      <c r="G67" t="s">
        <v>17</v>
      </c>
      <c r="H67">
        <v>0</v>
      </c>
      <c r="I67">
        <v>0</v>
      </c>
      <c r="J67">
        <v>0</v>
      </c>
      <c r="K67">
        <v>122</v>
      </c>
      <c r="L67">
        <v>120</v>
      </c>
      <c r="M67">
        <v>0</v>
      </c>
    </row>
    <row r="68" spans="1:13" x14ac:dyDescent="0.35">
      <c r="A68" t="s">
        <v>144</v>
      </c>
      <c r="B68" t="s">
        <v>13</v>
      </c>
      <c r="C68" t="s">
        <v>151</v>
      </c>
      <c r="D68" t="s">
        <v>146</v>
      </c>
      <c r="E68" t="s">
        <v>170</v>
      </c>
      <c r="F68" t="s">
        <v>16</v>
      </c>
      <c r="G68" t="s">
        <v>17</v>
      </c>
      <c r="H68">
        <v>0</v>
      </c>
      <c r="I68">
        <v>0</v>
      </c>
      <c r="J68">
        <v>0</v>
      </c>
      <c r="K68">
        <v>35</v>
      </c>
      <c r="L68">
        <v>35</v>
      </c>
      <c r="M68">
        <v>0</v>
      </c>
    </row>
    <row r="69" spans="1:13" x14ac:dyDescent="0.35">
      <c r="A69" t="s">
        <v>144</v>
      </c>
      <c r="B69" t="s">
        <v>13</v>
      </c>
      <c r="C69" t="s">
        <v>152</v>
      </c>
      <c r="D69" t="s">
        <v>146</v>
      </c>
      <c r="E69" t="s">
        <v>170</v>
      </c>
      <c r="F69" t="s">
        <v>16</v>
      </c>
      <c r="G69" t="s">
        <v>17</v>
      </c>
      <c r="H69">
        <v>10</v>
      </c>
      <c r="I69">
        <v>0</v>
      </c>
      <c r="J69">
        <v>5</v>
      </c>
      <c r="K69">
        <v>40</v>
      </c>
      <c r="L69">
        <v>33</v>
      </c>
      <c r="M69">
        <v>0.30303030303030304</v>
      </c>
    </row>
    <row r="70" spans="1:13" x14ac:dyDescent="0.35">
      <c r="A70" t="s">
        <v>144</v>
      </c>
      <c r="B70" t="s">
        <v>13</v>
      </c>
      <c r="C70" t="s">
        <v>153</v>
      </c>
      <c r="D70" t="s">
        <v>146</v>
      </c>
      <c r="E70" t="s">
        <v>170</v>
      </c>
      <c r="F70" t="s">
        <v>16</v>
      </c>
      <c r="G70" t="s">
        <v>17</v>
      </c>
      <c r="H70">
        <v>0</v>
      </c>
      <c r="I70">
        <v>0</v>
      </c>
      <c r="J70">
        <v>0</v>
      </c>
      <c r="K70">
        <v>101</v>
      </c>
      <c r="L70">
        <v>97</v>
      </c>
      <c r="M70">
        <v>0</v>
      </c>
    </row>
    <row r="71" spans="1:13" x14ac:dyDescent="0.35">
      <c r="A71" t="s">
        <v>144</v>
      </c>
      <c r="B71" t="s">
        <v>13</v>
      </c>
      <c r="C71" t="s">
        <v>154</v>
      </c>
      <c r="D71" t="s">
        <v>146</v>
      </c>
      <c r="E71" t="s">
        <v>170</v>
      </c>
      <c r="F71" t="s">
        <v>16</v>
      </c>
      <c r="G71" t="s">
        <v>17</v>
      </c>
      <c r="H71">
        <v>1</v>
      </c>
      <c r="I71">
        <v>0</v>
      </c>
      <c r="J71">
        <v>0</v>
      </c>
      <c r="K71">
        <v>86</v>
      </c>
      <c r="L71">
        <v>79</v>
      </c>
      <c r="M71">
        <v>1.2658227848101266E-2</v>
      </c>
    </row>
    <row r="72" spans="1:13" x14ac:dyDescent="0.35">
      <c r="A72" t="s">
        <v>144</v>
      </c>
      <c r="B72" t="s">
        <v>13</v>
      </c>
      <c r="C72" t="s">
        <v>148</v>
      </c>
      <c r="D72" t="s">
        <v>146</v>
      </c>
      <c r="E72" t="s">
        <v>170</v>
      </c>
      <c r="F72" t="s">
        <v>16</v>
      </c>
      <c r="G72" t="s">
        <v>17</v>
      </c>
      <c r="H72">
        <v>3</v>
      </c>
      <c r="I72">
        <v>0</v>
      </c>
      <c r="J72">
        <v>1</v>
      </c>
      <c r="K72">
        <v>249</v>
      </c>
      <c r="L72">
        <v>246</v>
      </c>
      <c r="M72">
        <v>1.2195121951219513E-2</v>
      </c>
    </row>
    <row r="73" spans="1:13" x14ac:dyDescent="0.35">
      <c r="A73" t="s">
        <v>144</v>
      </c>
      <c r="B73" t="s">
        <v>13</v>
      </c>
      <c r="C73" t="s">
        <v>155</v>
      </c>
      <c r="D73" t="s">
        <v>146</v>
      </c>
      <c r="E73" t="s">
        <v>170</v>
      </c>
      <c r="F73" t="s">
        <v>16</v>
      </c>
      <c r="G73" t="s">
        <v>17</v>
      </c>
      <c r="H73">
        <v>1</v>
      </c>
      <c r="I73">
        <v>0</v>
      </c>
      <c r="J73">
        <v>0</v>
      </c>
      <c r="K73">
        <v>108</v>
      </c>
      <c r="L73">
        <v>108</v>
      </c>
      <c r="M73">
        <v>9.2592592592592587E-3</v>
      </c>
    </row>
    <row r="74" spans="1:13" x14ac:dyDescent="0.35">
      <c r="A74" t="s">
        <v>144</v>
      </c>
      <c r="B74" t="s">
        <v>13</v>
      </c>
      <c r="C74" t="s">
        <v>156</v>
      </c>
      <c r="D74" t="s">
        <v>146</v>
      </c>
      <c r="E74" t="s">
        <v>170</v>
      </c>
      <c r="F74" t="s">
        <v>16</v>
      </c>
      <c r="G74" t="s">
        <v>17</v>
      </c>
      <c r="H74">
        <v>2</v>
      </c>
      <c r="I74">
        <v>0</v>
      </c>
      <c r="J74">
        <v>1</v>
      </c>
      <c r="K74">
        <v>38</v>
      </c>
      <c r="L74">
        <v>33</v>
      </c>
      <c r="M74">
        <v>6.0606060606060608E-2</v>
      </c>
    </row>
    <row r="75" spans="1:13" x14ac:dyDescent="0.35">
      <c r="A75" t="s">
        <v>144</v>
      </c>
      <c r="B75" t="s">
        <v>13</v>
      </c>
      <c r="C75" t="s">
        <v>157</v>
      </c>
      <c r="D75" t="s">
        <v>146</v>
      </c>
      <c r="E75" t="s">
        <v>170</v>
      </c>
      <c r="F75" t="s">
        <v>16</v>
      </c>
      <c r="G75" t="s">
        <v>17</v>
      </c>
      <c r="H75">
        <v>5</v>
      </c>
      <c r="I75">
        <v>0</v>
      </c>
      <c r="J75">
        <v>0</v>
      </c>
      <c r="K75">
        <v>739</v>
      </c>
      <c r="L75">
        <v>695</v>
      </c>
      <c r="M75">
        <v>7.1942446043165471E-3</v>
      </c>
    </row>
    <row r="76" spans="1:13" x14ac:dyDescent="0.35">
      <c r="A76" t="s">
        <v>144</v>
      </c>
      <c r="B76" t="s">
        <v>13</v>
      </c>
      <c r="C76" t="s">
        <v>158</v>
      </c>
      <c r="D76" t="s">
        <v>146</v>
      </c>
      <c r="E76" t="s">
        <v>170</v>
      </c>
      <c r="F76" t="s">
        <v>16</v>
      </c>
      <c r="G76" t="s">
        <v>17</v>
      </c>
      <c r="H76">
        <v>12</v>
      </c>
      <c r="I76">
        <v>0</v>
      </c>
      <c r="J76">
        <v>3</v>
      </c>
      <c r="K76">
        <v>1115</v>
      </c>
      <c r="L76">
        <v>1088</v>
      </c>
      <c r="M76">
        <v>1.1029411764705883E-2</v>
      </c>
    </row>
    <row r="77" spans="1:13" x14ac:dyDescent="0.35">
      <c r="A77" t="s">
        <v>144</v>
      </c>
      <c r="B77" t="s">
        <v>13</v>
      </c>
      <c r="C77" t="s">
        <v>158</v>
      </c>
      <c r="D77" t="s">
        <v>162</v>
      </c>
      <c r="E77" t="s">
        <v>171</v>
      </c>
      <c r="F77" t="s">
        <v>21</v>
      </c>
      <c r="G77" t="s">
        <v>164</v>
      </c>
      <c r="H77">
        <v>7</v>
      </c>
      <c r="I77">
        <v>0</v>
      </c>
      <c r="J77">
        <v>2</v>
      </c>
      <c r="K77">
        <v>3008</v>
      </c>
      <c r="L77">
        <v>2196</v>
      </c>
      <c r="M77">
        <v>3.1876138433515485E-3</v>
      </c>
    </row>
    <row r="78" spans="1:13" x14ac:dyDescent="0.35">
      <c r="A78" t="s">
        <v>144</v>
      </c>
      <c r="B78" t="s">
        <v>36</v>
      </c>
      <c r="C78" t="s">
        <v>148</v>
      </c>
      <c r="D78" t="s">
        <v>146</v>
      </c>
      <c r="E78" t="s">
        <v>147</v>
      </c>
      <c r="F78" t="s">
        <v>16</v>
      </c>
      <c r="G78" t="s">
        <v>17</v>
      </c>
      <c r="H78">
        <v>6</v>
      </c>
      <c r="I78">
        <v>6</v>
      </c>
      <c r="J78">
        <v>0</v>
      </c>
      <c r="K78">
        <v>79</v>
      </c>
      <c r="L78">
        <v>73</v>
      </c>
      <c r="M78">
        <v>8.2191780821917804E-2</v>
      </c>
    </row>
    <row r="79" spans="1:13" x14ac:dyDescent="0.35">
      <c r="A79" t="s">
        <v>144</v>
      </c>
      <c r="B79" t="s">
        <v>36</v>
      </c>
      <c r="C79" t="s">
        <v>150</v>
      </c>
      <c r="D79" t="s">
        <v>146</v>
      </c>
      <c r="E79" t="s">
        <v>147</v>
      </c>
      <c r="F79" t="s">
        <v>16</v>
      </c>
      <c r="G79" t="s">
        <v>17</v>
      </c>
      <c r="H79">
        <v>2</v>
      </c>
      <c r="I79">
        <v>2</v>
      </c>
      <c r="J79">
        <v>0</v>
      </c>
      <c r="K79">
        <v>18</v>
      </c>
      <c r="L79">
        <v>16</v>
      </c>
      <c r="M79">
        <v>0.125</v>
      </c>
    </row>
    <row r="80" spans="1:13" x14ac:dyDescent="0.35">
      <c r="A80" t="s">
        <v>144</v>
      </c>
      <c r="B80" t="s">
        <v>36</v>
      </c>
      <c r="C80" t="s">
        <v>151</v>
      </c>
      <c r="D80" t="s">
        <v>146</v>
      </c>
      <c r="E80" t="s">
        <v>147</v>
      </c>
      <c r="F80" t="s">
        <v>16</v>
      </c>
      <c r="G80" t="s">
        <v>17</v>
      </c>
      <c r="H80">
        <v>0</v>
      </c>
      <c r="I80">
        <v>0</v>
      </c>
      <c r="J80">
        <v>0</v>
      </c>
      <c r="K80">
        <v>15</v>
      </c>
      <c r="L80">
        <v>13</v>
      </c>
      <c r="M80">
        <v>0</v>
      </c>
    </row>
    <row r="81" spans="1:13" x14ac:dyDescent="0.35">
      <c r="A81" t="s">
        <v>144</v>
      </c>
      <c r="B81" t="s">
        <v>36</v>
      </c>
      <c r="C81" t="s">
        <v>152</v>
      </c>
      <c r="D81" t="s">
        <v>146</v>
      </c>
      <c r="E81" t="s">
        <v>147</v>
      </c>
      <c r="F81" t="s">
        <v>16</v>
      </c>
      <c r="G81" t="s">
        <v>17</v>
      </c>
      <c r="H81">
        <v>7</v>
      </c>
      <c r="I81">
        <v>7</v>
      </c>
      <c r="J81">
        <v>0</v>
      </c>
      <c r="K81">
        <v>51</v>
      </c>
      <c r="L81">
        <v>47</v>
      </c>
      <c r="M81">
        <v>0.14893617021276595</v>
      </c>
    </row>
    <row r="82" spans="1:13" x14ac:dyDescent="0.35">
      <c r="A82" t="s">
        <v>144</v>
      </c>
      <c r="B82" t="s">
        <v>36</v>
      </c>
      <c r="C82" t="s">
        <v>153</v>
      </c>
      <c r="D82" t="s">
        <v>146</v>
      </c>
      <c r="E82" t="s">
        <v>147</v>
      </c>
      <c r="F82" t="s">
        <v>16</v>
      </c>
      <c r="G82" t="s">
        <v>17</v>
      </c>
      <c r="H82">
        <v>0</v>
      </c>
      <c r="I82">
        <v>0</v>
      </c>
      <c r="J82">
        <v>0</v>
      </c>
      <c r="K82">
        <v>4</v>
      </c>
      <c r="L82">
        <v>4</v>
      </c>
      <c r="M82">
        <v>0</v>
      </c>
    </row>
    <row r="83" spans="1:13" x14ac:dyDescent="0.35">
      <c r="A83" t="s">
        <v>144</v>
      </c>
      <c r="B83" t="s">
        <v>36</v>
      </c>
      <c r="C83" t="s">
        <v>154</v>
      </c>
      <c r="D83" t="s">
        <v>146</v>
      </c>
      <c r="E83" t="s">
        <v>147</v>
      </c>
      <c r="F83" t="s">
        <v>16</v>
      </c>
      <c r="G83" t="s">
        <v>17</v>
      </c>
      <c r="H83">
        <v>1</v>
      </c>
      <c r="I83">
        <v>1</v>
      </c>
      <c r="J83">
        <v>0</v>
      </c>
      <c r="K83">
        <v>15</v>
      </c>
      <c r="L83">
        <v>15</v>
      </c>
      <c r="M83">
        <v>6.6666666666666666E-2</v>
      </c>
    </row>
    <row r="84" spans="1:13" x14ac:dyDescent="0.35">
      <c r="A84" t="s">
        <v>144</v>
      </c>
      <c r="B84" t="s">
        <v>36</v>
      </c>
      <c r="C84" t="s">
        <v>155</v>
      </c>
      <c r="D84" t="s">
        <v>146</v>
      </c>
      <c r="E84" t="s">
        <v>147</v>
      </c>
      <c r="F84" t="s">
        <v>16</v>
      </c>
      <c r="G84" t="s">
        <v>17</v>
      </c>
      <c r="H84">
        <v>2</v>
      </c>
      <c r="I84">
        <v>2</v>
      </c>
      <c r="J84">
        <v>0</v>
      </c>
      <c r="K84">
        <v>13</v>
      </c>
      <c r="L84">
        <v>11</v>
      </c>
      <c r="M84">
        <v>0.18181818181818182</v>
      </c>
    </row>
    <row r="85" spans="1:13" x14ac:dyDescent="0.35">
      <c r="A85" t="s">
        <v>144</v>
      </c>
      <c r="B85" t="s">
        <v>36</v>
      </c>
      <c r="C85" t="s">
        <v>156</v>
      </c>
      <c r="D85" t="s">
        <v>146</v>
      </c>
      <c r="E85" t="s">
        <v>147</v>
      </c>
      <c r="F85" t="s">
        <v>16</v>
      </c>
      <c r="G85" t="s">
        <v>17</v>
      </c>
      <c r="H85">
        <v>1</v>
      </c>
      <c r="I85">
        <v>1</v>
      </c>
      <c r="J85">
        <v>0</v>
      </c>
      <c r="K85">
        <v>13</v>
      </c>
      <c r="L85">
        <v>12</v>
      </c>
      <c r="M85">
        <v>8.3333333333333329E-2</v>
      </c>
    </row>
    <row r="86" spans="1:13" x14ac:dyDescent="0.35">
      <c r="A86" t="s">
        <v>144</v>
      </c>
      <c r="B86" t="s">
        <v>36</v>
      </c>
      <c r="C86" t="s">
        <v>157</v>
      </c>
      <c r="D86" t="s">
        <v>146</v>
      </c>
      <c r="E86" t="s">
        <v>147</v>
      </c>
      <c r="F86" t="s">
        <v>16</v>
      </c>
      <c r="G86" t="s">
        <v>17</v>
      </c>
      <c r="H86">
        <v>0</v>
      </c>
      <c r="I86">
        <v>0</v>
      </c>
      <c r="J86">
        <v>0</v>
      </c>
      <c r="K86">
        <v>14</v>
      </c>
      <c r="L86">
        <v>12</v>
      </c>
      <c r="M86">
        <v>0</v>
      </c>
    </row>
    <row r="87" spans="1:13" x14ac:dyDescent="0.35">
      <c r="A87" t="s">
        <v>144</v>
      </c>
      <c r="B87" t="s">
        <v>36</v>
      </c>
      <c r="C87" t="s">
        <v>158</v>
      </c>
      <c r="D87" t="s">
        <v>146</v>
      </c>
      <c r="E87" t="s">
        <v>147</v>
      </c>
      <c r="F87" t="s">
        <v>16</v>
      </c>
      <c r="G87" t="s">
        <v>17</v>
      </c>
      <c r="H87">
        <v>4</v>
      </c>
      <c r="I87">
        <v>4</v>
      </c>
      <c r="J87">
        <v>0</v>
      </c>
      <c r="K87">
        <v>34</v>
      </c>
      <c r="L87">
        <v>33</v>
      </c>
      <c r="M87">
        <v>0.12121212121212122</v>
      </c>
    </row>
    <row r="88" spans="1:13" x14ac:dyDescent="0.35">
      <c r="A88" t="s">
        <v>144</v>
      </c>
      <c r="B88" t="s">
        <v>36</v>
      </c>
      <c r="C88" t="s">
        <v>145</v>
      </c>
      <c r="D88" t="s">
        <v>146</v>
      </c>
      <c r="E88" t="s">
        <v>147</v>
      </c>
      <c r="F88" t="s">
        <v>28</v>
      </c>
      <c r="G88" t="s">
        <v>29</v>
      </c>
      <c r="H88">
        <v>4</v>
      </c>
      <c r="I88">
        <v>4</v>
      </c>
      <c r="J88">
        <v>0</v>
      </c>
      <c r="K88">
        <v>15</v>
      </c>
      <c r="L88">
        <v>15</v>
      </c>
      <c r="M88">
        <v>0.26666666666666666</v>
      </c>
    </row>
    <row r="89" spans="1:13" x14ac:dyDescent="0.35">
      <c r="A89" t="s">
        <v>144</v>
      </c>
      <c r="B89" t="s">
        <v>36</v>
      </c>
      <c r="C89" t="s">
        <v>150</v>
      </c>
      <c r="D89" t="s">
        <v>146</v>
      </c>
      <c r="E89" t="s">
        <v>159</v>
      </c>
      <c r="F89" t="s">
        <v>18</v>
      </c>
      <c r="G89" t="s">
        <v>19</v>
      </c>
      <c r="H89">
        <v>1</v>
      </c>
      <c r="I89">
        <v>1</v>
      </c>
      <c r="J89">
        <v>0</v>
      </c>
      <c r="K89">
        <v>7</v>
      </c>
      <c r="L89">
        <v>7</v>
      </c>
      <c r="M89">
        <v>0.14285714285714285</v>
      </c>
    </row>
    <row r="90" spans="1:13" x14ac:dyDescent="0.35">
      <c r="A90" t="s">
        <v>144</v>
      </c>
      <c r="B90" t="s">
        <v>36</v>
      </c>
      <c r="C90" t="s">
        <v>151</v>
      </c>
      <c r="D90" t="s">
        <v>146</v>
      </c>
      <c r="E90" t="s">
        <v>159</v>
      </c>
      <c r="F90" t="s">
        <v>18</v>
      </c>
      <c r="G90" t="s">
        <v>19</v>
      </c>
      <c r="H90">
        <v>0</v>
      </c>
      <c r="I90">
        <v>0</v>
      </c>
      <c r="J90">
        <v>0</v>
      </c>
      <c r="K90">
        <v>9</v>
      </c>
      <c r="L90">
        <v>9</v>
      </c>
      <c r="M90">
        <v>0</v>
      </c>
    </row>
    <row r="91" spans="1:13" x14ac:dyDescent="0.35">
      <c r="A91" t="s">
        <v>144</v>
      </c>
      <c r="B91" t="s">
        <v>36</v>
      </c>
      <c r="C91" t="s">
        <v>152</v>
      </c>
      <c r="D91" t="s">
        <v>146</v>
      </c>
      <c r="E91" t="s">
        <v>159</v>
      </c>
      <c r="F91" t="s">
        <v>18</v>
      </c>
      <c r="G91" t="s">
        <v>19</v>
      </c>
      <c r="H91">
        <v>8</v>
      </c>
      <c r="I91">
        <v>8</v>
      </c>
      <c r="J91">
        <v>0</v>
      </c>
      <c r="K91">
        <v>60</v>
      </c>
      <c r="L91">
        <v>57</v>
      </c>
      <c r="M91">
        <v>0.14035087719298245</v>
      </c>
    </row>
    <row r="92" spans="1:13" x14ac:dyDescent="0.35">
      <c r="A92" t="s">
        <v>144</v>
      </c>
      <c r="B92" t="s">
        <v>36</v>
      </c>
      <c r="C92" t="s">
        <v>153</v>
      </c>
      <c r="D92" t="s">
        <v>146</v>
      </c>
      <c r="E92" t="s">
        <v>159</v>
      </c>
      <c r="F92" t="s">
        <v>18</v>
      </c>
      <c r="G92" t="s">
        <v>19</v>
      </c>
      <c r="H92">
        <v>0</v>
      </c>
      <c r="I92">
        <v>0</v>
      </c>
      <c r="J92">
        <v>0</v>
      </c>
      <c r="K92">
        <v>3</v>
      </c>
      <c r="L92">
        <v>3</v>
      </c>
      <c r="M92">
        <v>0</v>
      </c>
    </row>
    <row r="93" spans="1:13" x14ac:dyDescent="0.35">
      <c r="A93" t="s">
        <v>144</v>
      </c>
      <c r="B93" t="s">
        <v>36</v>
      </c>
      <c r="C93" t="s">
        <v>154</v>
      </c>
      <c r="D93" t="s">
        <v>146</v>
      </c>
      <c r="E93" t="s">
        <v>159</v>
      </c>
      <c r="F93" t="s">
        <v>18</v>
      </c>
      <c r="G93" t="s">
        <v>19</v>
      </c>
      <c r="H93">
        <v>0</v>
      </c>
      <c r="I93">
        <v>0</v>
      </c>
      <c r="J93">
        <v>0</v>
      </c>
      <c r="K93">
        <v>19</v>
      </c>
      <c r="L93">
        <v>18</v>
      </c>
      <c r="M93">
        <v>0</v>
      </c>
    </row>
    <row r="94" spans="1:13" x14ac:dyDescent="0.35">
      <c r="A94" t="s">
        <v>144</v>
      </c>
      <c r="B94" t="s">
        <v>36</v>
      </c>
      <c r="C94" t="s">
        <v>148</v>
      </c>
      <c r="D94" t="s">
        <v>146</v>
      </c>
      <c r="E94" t="s">
        <v>159</v>
      </c>
      <c r="F94" t="s">
        <v>18</v>
      </c>
      <c r="G94" t="s">
        <v>19</v>
      </c>
      <c r="H94">
        <v>4</v>
      </c>
      <c r="I94">
        <v>4</v>
      </c>
      <c r="J94">
        <v>0</v>
      </c>
      <c r="K94">
        <v>77</v>
      </c>
      <c r="L94">
        <v>74</v>
      </c>
      <c r="M94">
        <v>5.4054054054054057E-2</v>
      </c>
    </row>
    <row r="95" spans="1:13" x14ac:dyDescent="0.35">
      <c r="A95" t="s">
        <v>144</v>
      </c>
      <c r="B95" t="s">
        <v>36</v>
      </c>
      <c r="C95" t="s">
        <v>155</v>
      </c>
      <c r="D95" t="s">
        <v>146</v>
      </c>
      <c r="E95" t="s">
        <v>159</v>
      </c>
      <c r="F95" t="s">
        <v>18</v>
      </c>
      <c r="G95" t="s">
        <v>19</v>
      </c>
      <c r="H95">
        <v>2</v>
      </c>
      <c r="I95">
        <v>2</v>
      </c>
      <c r="J95">
        <v>0</v>
      </c>
      <c r="K95">
        <v>7</v>
      </c>
      <c r="L95">
        <v>7</v>
      </c>
      <c r="M95">
        <v>0.2857142857142857</v>
      </c>
    </row>
    <row r="96" spans="1:13" x14ac:dyDescent="0.35">
      <c r="A96" t="s">
        <v>144</v>
      </c>
      <c r="B96" t="s">
        <v>36</v>
      </c>
      <c r="C96" t="s">
        <v>156</v>
      </c>
      <c r="D96" t="s">
        <v>146</v>
      </c>
      <c r="E96" t="s">
        <v>159</v>
      </c>
      <c r="F96" t="s">
        <v>18</v>
      </c>
      <c r="G96" t="s">
        <v>19</v>
      </c>
      <c r="H96">
        <v>1</v>
      </c>
      <c r="I96">
        <v>1</v>
      </c>
      <c r="J96">
        <v>0</v>
      </c>
      <c r="K96">
        <v>11</v>
      </c>
      <c r="L96">
        <v>10</v>
      </c>
      <c r="M96">
        <v>0.1</v>
      </c>
    </row>
    <row r="97" spans="1:13" x14ac:dyDescent="0.35">
      <c r="A97" t="s">
        <v>144</v>
      </c>
      <c r="B97" t="s">
        <v>36</v>
      </c>
      <c r="C97" t="s">
        <v>157</v>
      </c>
      <c r="D97" t="s">
        <v>146</v>
      </c>
      <c r="E97" t="s">
        <v>159</v>
      </c>
      <c r="F97" t="s">
        <v>18</v>
      </c>
      <c r="G97" t="s">
        <v>19</v>
      </c>
      <c r="H97">
        <v>0</v>
      </c>
      <c r="I97">
        <v>0</v>
      </c>
      <c r="J97">
        <v>0</v>
      </c>
      <c r="K97">
        <v>12</v>
      </c>
      <c r="L97">
        <v>10</v>
      </c>
      <c r="M97">
        <v>0</v>
      </c>
    </row>
    <row r="98" spans="1:13" x14ac:dyDescent="0.35">
      <c r="A98" t="s">
        <v>144</v>
      </c>
      <c r="B98" t="s">
        <v>36</v>
      </c>
      <c r="C98" t="s">
        <v>158</v>
      </c>
      <c r="D98" t="s">
        <v>146</v>
      </c>
      <c r="E98" t="s">
        <v>159</v>
      </c>
      <c r="F98" t="s">
        <v>18</v>
      </c>
      <c r="G98" t="s">
        <v>19</v>
      </c>
      <c r="H98">
        <v>5</v>
      </c>
      <c r="I98">
        <v>5</v>
      </c>
      <c r="J98">
        <v>0</v>
      </c>
      <c r="K98">
        <v>45</v>
      </c>
      <c r="L98">
        <v>44</v>
      </c>
      <c r="M98">
        <v>0.11363636363636363</v>
      </c>
    </row>
    <row r="99" spans="1:13" x14ac:dyDescent="0.35">
      <c r="A99" t="s">
        <v>144</v>
      </c>
      <c r="B99" t="s">
        <v>36</v>
      </c>
      <c r="C99" t="s">
        <v>154</v>
      </c>
      <c r="D99" t="s">
        <v>146</v>
      </c>
      <c r="E99" t="s">
        <v>160</v>
      </c>
      <c r="F99" t="s">
        <v>16</v>
      </c>
      <c r="G99" t="s">
        <v>20</v>
      </c>
      <c r="H99">
        <v>0</v>
      </c>
      <c r="I99">
        <v>0</v>
      </c>
      <c r="J99">
        <v>0</v>
      </c>
      <c r="K99">
        <v>13</v>
      </c>
      <c r="L99">
        <v>12</v>
      </c>
      <c r="M99">
        <v>0</v>
      </c>
    </row>
    <row r="100" spans="1:13" x14ac:dyDescent="0.35">
      <c r="A100" t="s">
        <v>144</v>
      </c>
      <c r="B100" t="s">
        <v>36</v>
      </c>
      <c r="C100" t="s">
        <v>152</v>
      </c>
      <c r="D100" t="s">
        <v>146</v>
      </c>
      <c r="E100" t="s">
        <v>160</v>
      </c>
      <c r="F100" t="s">
        <v>16</v>
      </c>
      <c r="G100" t="s">
        <v>20</v>
      </c>
      <c r="H100">
        <v>15</v>
      </c>
      <c r="I100">
        <v>15</v>
      </c>
      <c r="J100">
        <v>0</v>
      </c>
      <c r="K100">
        <v>78</v>
      </c>
      <c r="L100">
        <v>70</v>
      </c>
      <c r="M100">
        <v>0.21428571428571427</v>
      </c>
    </row>
    <row r="101" spans="1:13" x14ac:dyDescent="0.35">
      <c r="A101" t="s">
        <v>144</v>
      </c>
      <c r="B101" t="s">
        <v>36</v>
      </c>
      <c r="C101" t="s">
        <v>156</v>
      </c>
      <c r="D101" t="s">
        <v>146</v>
      </c>
      <c r="E101" t="s">
        <v>160</v>
      </c>
      <c r="F101" t="s">
        <v>16</v>
      </c>
      <c r="G101" t="s">
        <v>20</v>
      </c>
      <c r="H101">
        <v>1</v>
      </c>
      <c r="I101">
        <v>1</v>
      </c>
      <c r="J101">
        <v>0</v>
      </c>
      <c r="K101">
        <v>9</v>
      </c>
      <c r="L101">
        <v>9</v>
      </c>
      <c r="M101">
        <v>0.1111111111111111</v>
      </c>
    </row>
    <row r="102" spans="1:13" x14ac:dyDescent="0.35">
      <c r="A102" t="s">
        <v>144</v>
      </c>
      <c r="B102" t="s">
        <v>36</v>
      </c>
      <c r="C102" t="s">
        <v>157</v>
      </c>
      <c r="D102" t="s">
        <v>146</v>
      </c>
      <c r="E102" t="s">
        <v>160</v>
      </c>
      <c r="F102" t="s">
        <v>16</v>
      </c>
      <c r="G102" t="s">
        <v>20</v>
      </c>
      <c r="H102">
        <v>1</v>
      </c>
      <c r="I102">
        <v>1</v>
      </c>
      <c r="J102">
        <v>0</v>
      </c>
      <c r="K102">
        <v>13</v>
      </c>
      <c r="L102">
        <v>11</v>
      </c>
      <c r="M102">
        <v>9.0909090909090912E-2</v>
      </c>
    </row>
    <row r="103" spans="1:13" x14ac:dyDescent="0.35">
      <c r="A103" t="s">
        <v>144</v>
      </c>
      <c r="B103" t="s">
        <v>36</v>
      </c>
      <c r="C103" t="s">
        <v>148</v>
      </c>
      <c r="D103" t="s">
        <v>146</v>
      </c>
      <c r="E103" t="s">
        <v>160</v>
      </c>
      <c r="F103" t="s">
        <v>16</v>
      </c>
      <c r="G103" t="s">
        <v>20</v>
      </c>
      <c r="H103">
        <v>11</v>
      </c>
      <c r="I103">
        <v>11</v>
      </c>
      <c r="J103">
        <v>0</v>
      </c>
      <c r="K103">
        <v>126</v>
      </c>
      <c r="L103">
        <v>116</v>
      </c>
      <c r="M103">
        <v>9.4827586206896547E-2</v>
      </c>
    </row>
    <row r="104" spans="1:13" x14ac:dyDescent="0.35">
      <c r="A104" t="s">
        <v>144</v>
      </c>
      <c r="B104" t="s">
        <v>36</v>
      </c>
      <c r="C104" t="s">
        <v>155</v>
      </c>
      <c r="D104" t="s">
        <v>146</v>
      </c>
      <c r="E104" t="s">
        <v>160</v>
      </c>
      <c r="F104" t="s">
        <v>16</v>
      </c>
      <c r="G104" t="s">
        <v>20</v>
      </c>
      <c r="H104">
        <v>1</v>
      </c>
      <c r="I104">
        <v>1</v>
      </c>
      <c r="J104">
        <v>0</v>
      </c>
      <c r="K104">
        <v>5</v>
      </c>
      <c r="L104">
        <v>5</v>
      </c>
      <c r="M104">
        <v>0.2</v>
      </c>
    </row>
    <row r="105" spans="1:13" x14ac:dyDescent="0.35">
      <c r="A105" t="s">
        <v>144</v>
      </c>
      <c r="B105" t="s">
        <v>36</v>
      </c>
      <c r="C105" t="s">
        <v>150</v>
      </c>
      <c r="D105" t="s">
        <v>146</v>
      </c>
      <c r="E105" t="s">
        <v>160</v>
      </c>
      <c r="F105" t="s">
        <v>16</v>
      </c>
      <c r="G105" t="s">
        <v>20</v>
      </c>
      <c r="H105">
        <v>1</v>
      </c>
      <c r="I105">
        <v>1</v>
      </c>
      <c r="J105">
        <v>0</v>
      </c>
      <c r="K105">
        <v>8</v>
      </c>
      <c r="L105">
        <v>8</v>
      </c>
      <c r="M105">
        <v>0.125</v>
      </c>
    </row>
    <row r="106" spans="1:13" x14ac:dyDescent="0.35">
      <c r="A106" t="s">
        <v>144</v>
      </c>
      <c r="B106" t="s">
        <v>36</v>
      </c>
      <c r="C106" t="s">
        <v>158</v>
      </c>
      <c r="D106" t="s">
        <v>146</v>
      </c>
      <c r="E106" t="s">
        <v>160</v>
      </c>
      <c r="F106" t="s">
        <v>16</v>
      </c>
      <c r="G106" t="s">
        <v>20</v>
      </c>
      <c r="H106">
        <v>6</v>
      </c>
      <c r="I106">
        <v>6</v>
      </c>
      <c r="J106">
        <v>0</v>
      </c>
      <c r="K106">
        <v>37</v>
      </c>
      <c r="L106">
        <v>34</v>
      </c>
      <c r="M106">
        <v>0.17647058823529413</v>
      </c>
    </row>
    <row r="107" spans="1:13" x14ac:dyDescent="0.35">
      <c r="A107" t="s">
        <v>144</v>
      </c>
      <c r="B107" t="s">
        <v>36</v>
      </c>
      <c r="C107" t="s">
        <v>151</v>
      </c>
      <c r="D107" t="s">
        <v>146</v>
      </c>
      <c r="E107" t="s">
        <v>160</v>
      </c>
      <c r="F107" t="s">
        <v>16</v>
      </c>
      <c r="G107" t="s">
        <v>20</v>
      </c>
      <c r="H107">
        <v>0</v>
      </c>
      <c r="I107">
        <v>0</v>
      </c>
      <c r="J107">
        <v>0</v>
      </c>
      <c r="K107">
        <v>9</v>
      </c>
      <c r="L107">
        <v>9</v>
      </c>
      <c r="M107">
        <v>0</v>
      </c>
    </row>
    <row r="108" spans="1:13" x14ac:dyDescent="0.35">
      <c r="A108" t="s">
        <v>144</v>
      </c>
      <c r="B108" t="s">
        <v>36</v>
      </c>
      <c r="C108" t="s">
        <v>153</v>
      </c>
      <c r="D108" t="s">
        <v>146</v>
      </c>
      <c r="E108" t="s">
        <v>160</v>
      </c>
      <c r="F108" t="s">
        <v>16</v>
      </c>
      <c r="G108" t="s">
        <v>20</v>
      </c>
      <c r="H108">
        <v>1</v>
      </c>
      <c r="I108">
        <v>1</v>
      </c>
      <c r="J108">
        <v>0</v>
      </c>
      <c r="K108">
        <v>5</v>
      </c>
      <c r="L108">
        <v>5</v>
      </c>
      <c r="M108">
        <v>0.2</v>
      </c>
    </row>
    <row r="109" spans="1:13" x14ac:dyDescent="0.35">
      <c r="A109" t="s">
        <v>144</v>
      </c>
      <c r="B109" t="s">
        <v>36</v>
      </c>
      <c r="C109" t="s">
        <v>145</v>
      </c>
      <c r="D109" t="s">
        <v>146</v>
      </c>
      <c r="E109" t="s">
        <v>161</v>
      </c>
      <c r="F109" t="s">
        <v>28</v>
      </c>
      <c r="G109" t="s">
        <v>29</v>
      </c>
      <c r="H109">
        <v>3</v>
      </c>
      <c r="I109">
        <v>3</v>
      </c>
      <c r="J109">
        <v>0</v>
      </c>
      <c r="K109">
        <v>24</v>
      </c>
      <c r="L109">
        <v>24</v>
      </c>
      <c r="M109">
        <v>0.125</v>
      </c>
    </row>
    <row r="110" spans="1:13" x14ac:dyDescent="0.35">
      <c r="A110" t="s">
        <v>144</v>
      </c>
      <c r="B110" t="s">
        <v>36</v>
      </c>
      <c r="C110" t="s">
        <v>157</v>
      </c>
      <c r="D110" t="s">
        <v>162</v>
      </c>
      <c r="E110" t="s">
        <v>163</v>
      </c>
      <c r="F110" t="s">
        <v>21</v>
      </c>
      <c r="G110" t="s">
        <v>164</v>
      </c>
      <c r="H110">
        <v>0</v>
      </c>
      <c r="I110">
        <v>0</v>
      </c>
      <c r="J110">
        <v>0</v>
      </c>
      <c r="K110">
        <v>11</v>
      </c>
      <c r="L110">
        <v>7</v>
      </c>
      <c r="M110">
        <v>0</v>
      </c>
    </row>
    <row r="111" spans="1:13" x14ac:dyDescent="0.35">
      <c r="A111" t="s">
        <v>144</v>
      </c>
      <c r="B111" t="s">
        <v>36</v>
      </c>
      <c r="C111" t="s">
        <v>152</v>
      </c>
      <c r="D111" t="s">
        <v>146</v>
      </c>
      <c r="E111" t="s">
        <v>165</v>
      </c>
      <c r="F111" t="s">
        <v>18</v>
      </c>
      <c r="G111" t="s">
        <v>23</v>
      </c>
      <c r="H111">
        <v>7</v>
      </c>
      <c r="I111">
        <v>7</v>
      </c>
      <c r="J111">
        <v>0</v>
      </c>
      <c r="K111">
        <v>56</v>
      </c>
      <c r="L111">
        <v>49</v>
      </c>
      <c r="M111">
        <v>0.14285714285714285</v>
      </c>
    </row>
    <row r="112" spans="1:13" x14ac:dyDescent="0.35">
      <c r="A112" t="s">
        <v>144</v>
      </c>
      <c r="B112" t="s">
        <v>36</v>
      </c>
      <c r="C112" t="s">
        <v>150</v>
      </c>
      <c r="D112" t="s">
        <v>146</v>
      </c>
      <c r="E112" t="s">
        <v>166</v>
      </c>
      <c r="F112" t="s">
        <v>18</v>
      </c>
      <c r="G112" t="s">
        <v>23</v>
      </c>
      <c r="H112">
        <v>1</v>
      </c>
      <c r="I112">
        <v>1</v>
      </c>
      <c r="J112">
        <v>0</v>
      </c>
      <c r="K112">
        <v>5</v>
      </c>
      <c r="L112">
        <v>5</v>
      </c>
      <c r="M112">
        <v>0.2</v>
      </c>
    </row>
    <row r="113" spans="1:13" x14ac:dyDescent="0.35">
      <c r="A113" t="s">
        <v>144</v>
      </c>
      <c r="B113" t="s">
        <v>36</v>
      </c>
      <c r="C113" t="s">
        <v>151</v>
      </c>
      <c r="D113" t="s">
        <v>146</v>
      </c>
      <c r="E113" t="s">
        <v>166</v>
      </c>
      <c r="F113" t="s">
        <v>18</v>
      </c>
      <c r="G113" t="s">
        <v>23</v>
      </c>
      <c r="H113">
        <v>1</v>
      </c>
      <c r="I113">
        <v>1</v>
      </c>
      <c r="J113">
        <v>0</v>
      </c>
      <c r="K113">
        <v>10</v>
      </c>
      <c r="L113">
        <v>10</v>
      </c>
      <c r="M113">
        <v>0.1</v>
      </c>
    </row>
    <row r="114" spans="1:13" x14ac:dyDescent="0.35">
      <c r="A114" t="s">
        <v>144</v>
      </c>
      <c r="B114" t="s">
        <v>36</v>
      </c>
      <c r="C114" t="s">
        <v>153</v>
      </c>
      <c r="D114" t="s">
        <v>146</v>
      </c>
      <c r="E114" t="s">
        <v>166</v>
      </c>
      <c r="F114" t="s">
        <v>18</v>
      </c>
      <c r="G114" t="s">
        <v>23</v>
      </c>
      <c r="H114">
        <v>0</v>
      </c>
      <c r="I114">
        <v>0</v>
      </c>
      <c r="J114">
        <v>0</v>
      </c>
      <c r="K114">
        <v>4</v>
      </c>
      <c r="L114">
        <v>4</v>
      </c>
      <c r="M114">
        <v>0</v>
      </c>
    </row>
    <row r="115" spans="1:13" x14ac:dyDescent="0.35">
      <c r="A115" t="s">
        <v>144</v>
      </c>
      <c r="B115" t="s">
        <v>36</v>
      </c>
      <c r="C115" t="s">
        <v>154</v>
      </c>
      <c r="D115" t="s">
        <v>146</v>
      </c>
      <c r="E115" t="s">
        <v>166</v>
      </c>
      <c r="F115" t="s">
        <v>18</v>
      </c>
      <c r="G115" t="s">
        <v>23</v>
      </c>
      <c r="H115">
        <v>1</v>
      </c>
      <c r="I115">
        <v>1</v>
      </c>
      <c r="J115">
        <v>0</v>
      </c>
      <c r="K115">
        <v>9</v>
      </c>
      <c r="L115">
        <v>9</v>
      </c>
      <c r="M115">
        <v>0.1111111111111111</v>
      </c>
    </row>
    <row r="116" spans="1:13" x14ac:dyDescent="0.35">
      <c r="A116" t="s">
        <v>144</v>
      </c>
      <c r="B116" t="s">
        <v>36</v>
      </c>
      <c r="C116" t="s">
        <v>148</v>
      </c>
      <c r="D116" t="s">
        <v>146</v>
      </c>
      <c r="E116" t="s">
        <v>166</v>
      </c>
      <c r="F116" t="s">
        <v>18</v>
      </c>
      <c r="G116" t="s">
        <v>23</v>
      </c>
      <c r="H116">
        <v>11</v>
      </c>
      <c r="I116">
        <v>10</v>
      </c>
      <c r="J116">
        <v>1</v>
      </c>
      <c r="K116">
        <v>159</v>
      </c>
      <c r="L116">
        <v>150</v>
      </c>
      <c r="M116">
        <v>7.3333333333333334E-2</v>
      </c>
    </row>
    <row r="117" spans="1:13" x14ac:dyDescent="0.35">
      <c r="A117" t="s">
        <v>144</v>
      </c>
      <c r="B117" t="s">
        <v>36</v>
      </c>
      <c r="C117" t="s">
        <v>155</v>
      </c>
      <c r="D117" t="s">
        <v>146</v>
      </c>
      <c r="E117" t="s">
        <v>166</v>
      </c>
      <c r="F117" t="s">
        <v>18</v>
      </c>
      <c r="G117" t="s">
        <v>23</v>
      </c>
      <c r="H117">
        <v>1</v>
      </c>
      <c r="I117">
        <v>1</v>
      </c>
      <c r="J117">
        <v>0</v>
      </c>
      <c r="K117">
        <v>9</v>
      </c>
      <c r="L117">
        <v>9</v>
      </c>
      <c r="M117">
        <v>0.1111111111111111</v>
      </c>
    </row>
    <row r="118" spans="1:13" x14ac:dyDescent="0.35">
      <c r="A118" t="s">
        <v>144</v>
      </c>
      <c r="B118" t="s">
        <v>36</v>
      </c>
      <c r="C118" t="s">
        <v>156</v>
      </c>
      <c r="D118" t="s">
        <v>146</v>
      </c>
      <c r="E118" t="s">
        <v>166</v>
      </c>
      <c r="F118" t="s">
        <v>18</v>
      </c>
      <c r="G118" t="s">
        <v>23</v>
      </c>
      <c r="H118">
        <v>2</v>
      </c>
      <c r="I118">
        <v>2</v>
      </c>
      <c r="J118">
        <v>0</v>
      </c>
      <c r="K118">
        <v>11</v>
      </c>
      <c r="L118">
        <v>11</v>
      </c>
      <c r="M118">
        <v>0.18181818181818182</v>
      </c>
    </row>
    <row r="119" spans="1:13" x14ac:dyDescent="0.35">
      <c r="A119" t="s">
        <v>144</v>
      </c>
      <c r="B119" t="s">
        <v>36</v>
      </c>
      <c r="C119" t="s">
        <v>157</v>
      </c>
      <c r="D119" t="s">
        <v>146</v>
      </c>
      <c r="E119" t="s">
        <v>166</v>
      </c>
      <c r="F119" t="s">
        <v>18</v>
      </c>
      <c r="G119" t="s">
        <v>23</v>
      </c>
      <c r="H119">
        <v>1</v>
      </c>
      <c r="I119">
        <v>1</v>
      </c>
      <c r="J119">
        <v>0</v>
      </c>
      <c r="K119">
        <v>14</v>
      </c>
      <c r="L119">
        <v>13</v>
      </c>
      <c r="M119">
        <v>7.6923076923076927E-2</v>
      </c>
    </row>
    <row r="120" spans="1:13" x14ac:dyDescent="0.35">
      <c r="A120" t="s">
        <v>144</v>
      </c>
      <c r="B120" t="s">
        <v>36</v>
      </c>
      <c r="C120" t="s">
        <v>158</v>
      </c>
      <c r="D120" t="s">
        <v>146</v>
      </c>
      <c r="E120" t="s">
        <v>166</v>
      </c>
      <c r="F120" t="s">
        <v>18</v>
      </c>
      <c r="G120" t="s">
        <v>23</v>
      </c>
      <c r="H120">
        <v>1</v>
      </c>
      <c r="I120">
        <v>1</v>
      </c>
      <c r="J120">
        <v>0</v>
      </c>
      <c r="K120">
        <v>20</v>
      </c>
      <c r="L120">
        <v>20</v>
      </c>
      <c r="M120">
        <v>0.05</v>
      </c>
    </row>
    <row r="121" spans="1:13" x14ac:dyDescent="0.35">
      <c r="A121" t="s">
        <v>144</v>
      </c>
      <c r="B121" t="s">
        <v>36</v>
      </c>
      <c r="C121" t="s">
        <v>148</v>
      </c>
      <c r="D121" t="s">
        <v>146</v>
      </c>
      <c r="E121" t="s">
        <v>167</v>
      </c>
      <c r="F121" t="s">
        <v>21</v>
      </c>
      <c r="G121" t="s">
        <v>164</v>
      </c>
      <c r="H121">
        <v>16</v>
      </c>
      <c r="I121">
        <v>16</v>
      </c>
      <c r="J121">
        <v>0</v>
      </c>
      <c r="K121">
        <v>306</v>
      </c>
      <c r="L121">
        <v>284</v>
      </c>
      <c r="M121">
        <v>5.6338028169014086E-2</v>
      </c>
    </row>
    <row r="122" spans="1:13" x14ac:dyDescent="0.35">
      <c r="A122" t="s">
        <v>144</v>
      </c>
      <c r="B122" t="s">
        <v>36</v>
      </c>
      <c r="C122" t="s">
        <v>150</v>
      </c>
      <c r="D122" t="s">
        <v>146</v>
      </c>
      <c r="E122" t="s">
        <v>168</v>
      </c>
      <c r="F122" t="s">
        <v>16</v>
      </c>
      <c r="G122" t="s">
        <v>17</v>
      </c>
      <c r="H122">
        <v>2</v>
      </c>
      <c r="I122">
        <v>2</v>
      </c>
      <c r="J122">
        <v>0</v>
      </c>
      <c r="K122">
        <v>12</v>
      </c>
      <c r="L122">
        <v>10</v>
      </c>
      <c r="M122">
        <v>0.2</v>
      </c>
    </row>
    <row r="123" spans="1:13" x14ac:dyDescent="0.35">
      <c r="A123" t="s">
        <v>144</v>
      </c>
      <c r="B123" t="s">
        <v>36</v>
      </c>
      <c r="C123" t="s">
        <v>151</v>
      </c>
      <c r="D123" t="s">
        <v>146</v>
      </c>
      <c r="E123" t="s">
        <v>168</v>
      </c>
      <c r="F123" t="s">
        <v>16</v>
      </c>
      <c r="G123" t="s">
        <v>17</v>
      </c>
      <c r="H123">
        <v>0</v>
      </c>
      <c r="I123">
        <v>0</v>
      </c>
      <c r="J123">
        <v>0</v>
      </c>
      <c r="K123">
        <v>13</v>
      </c>
      <c r="L123">
        <v>11</v>
      </c>
      <c r="M123">
        <v>0</v>
      </c>
    </row>
    <row r="124" spans="1:13" x14ac:dyDescent="0.35">
      <c r="A124" t="s">
        <v>144</v>
      </c>
      <c r="B124" t="s">
        <v>36</v>
      </c>
      <c r="C124" t="s">
        <v>152</v>
      </c>
      <c r="D124" t="s">
        <v>146</v>
      </c>
      <c r="E124" t="s">
        <v>168</v>
      </c>
      <c r="F124" t="s">
        <v>16</v>
      </c>
      <c r="G124" t="s">
        <v>17</v>
      </c>
      <c r="H124">
        <v>12</v>
      </c>
      <c r="I124">
        <v>12</v>
      </c>
      <c r="J124">
        <v>0</v>
      </c>
      <c r="K124">
        <v>73</v>
      </c>
      <c r="L124">
        <v>65</v>
      </c>
      <c r="M124">
        <v>0.18461538461538463</v>
      </c>
    </row>
    <row r="125" spans="1:13" x14ac:dyDescent="0.35">
      <c r="A125" t="s">
        <v>144</v>
      </c>
      <c r="B125" t="s">
        <v>36</v>
      </c>
      <c r="C125" t="s">
        <v>153</v>
      </c>
      <c r="D125" t="s">
        <v>146</v>
      </c>
      <c r="E125" t="s">
        <v>168</v>
      </c>
      <c r="F125" t="s">
        <v>16</v>
      </c>
      <c r="G125" t="s">
        <v>17</v>
      </c>
      <c r="H125">
        <v>1</v>
      </c>
      <c r="I125">
        <v>1</v>
      </c>
      <c r="J125">
        <v>0</v>
      </c>
      <c r="K125">
        <v>6</v>
      </c>
      <c r="L125">
        <v>5</v>
      </c>
      <c r="M125">
        <v>0.2</v>
      </c>
    </row>
    <row r="126" spans="1:13" x14ac:dyDescent="0.35">
      <c r="A126" t="s">
        <v>144</v>
      </c>
      <c r="B126" t="s">
        <v>36</v>
      </c>
      <c r="C126" t="s">
        <v>154</v>
      </c>
      <c r="D126" t="s">
        <v>146</v>
      </c>
      <c r="E126" t="s">
        <v>168</v>
      </c>
      <c r="F126" t="s">
        <v>16</v>
      </c>
      <c r="G126" t="s">
        <v>17</v>
      </c>
      <c r="H126">
        <v>0</v>
      </c>
      <c r="I126">
        <v>0</v>
      </c>
      <c r="J126">
        <v>0</v>
      </c>
      <c r="K126">
        <v>22</v>
      </c>
      <c r="L126">
        <v>19</v>
      </c>
      <c r="M126">
        <v>0</v>
      </c>
    </row>
    <row r="127" spans="1:13" x14ac:dyDescent="0.35">
      <c r="A127" t="s">
        <v>144</v>
      </c>
      <c r="B127" t="s">
        <v>36</v>
      </c>
      <c r="C127" t="s">
        <v>148</v>
      </c>
      <c r="D127" t="s">
        <v>146</v>
      </c>
      <c r="E127" t="s">
        <v>168</v>
      </c>
      <c r="F127" t="s">
        <v>16</v>
      </c>
      <c r="G127" t="s">
        <v>17</v>
      </c>
      <c r="H127">
        <v>3</v>
      </c>
      <c r="I127">
        <v>3</v>
      </c>
      <c r="J127">
        <v>0</v>
      </c>
      <c r="K127">
        <v>120</v>
      </c>
      <c r="L127">
        <v>105</v>
      </c>
      <c r="M127">
        <v>2.8571428571428571E-2</v>
      </c>
    </row>
    <row r="128" spans="1:13" x14ac:dyDescent="0.35">
      <c r="A128" t="s">
        <v>144</v>
      </c>
      <c r="B128" t="s">
        <v>36</v>
      </c>
      <c r="C128" t="s">
        <v>155</v>
      </c>
      <c r="D128" t="s">
        <v>146</v>
      </c>
      <c r="E128" t="s">
        <v>168</v>
      </c>
      <c r="F128" t="s">
        <v>16</v>
      </c>
      <c r="G128" t="s">
        <v>17</v>
      </c>
      <c r="H128">
        <v>1</v>
      </c>
      <c r="I128">
        <v>1</v>
      </c>
      <c r="J128">
        <v>0</v>
      </c>
      <c r="K128">
        <v>10</v>
      </c>
      <c r="L128">
        <v>9</v>
      </c>
      <c r="M128">
        <v>0.1111111111111111</v>
      </c>
    </row>
    <row r="129" spans="1:13" x14ac:dyDescent="0.35">
      <c r="A129" t="s">
        <v>144</v>
      </c>
      <c r="B129" t="s">
        <v>36</v>
      </c>
      <c r="C129" t="s">
        <v>156</v>
      </c>
      <c r="D129" t="s">
        <v>146</v>
      </c>
      <c r="E129" t="s">
        <v>168</v>
      </c>
      <c r="F129" t="s">
        <v>16</v>
      </c>
      <c r="G129" t="s">
        <v>17</v>
      </c>
      <c r="H129">
        <v>2</v>
      </c>
      <c r="I129">
        <v>2</v>
      </c>
      <c r="J129">
        <v>0</v>
      </c>
      <c r="K129">
        <v>9</v>
      </c>
      <c r="L129">
        <v>9</v>
      </c>
      <c r="M129">
        <v>0.22222222222222221</v>
      </c>
    </row>
    <row r="130" spans="1:13" x14ac:dyDescent="0.35">
      <c r="A130" t="s">
        <v>144</v>
      </c>
      <c r="B130" t="s">
        <v>36</v>
      </c>
      <c r="C130" t="s">
        <v>157</v>
      </c>
      <c r="D130" t="s">
        <v>146</v>
      </c>
      <c r="E130" t="s">
        <v>168</v>
      </c>
      <c r="F130" t="s">
        <v>16</v>
      </c>
      <c r="G130" t="s">
        <v>17</v>
      </c>
      <c r="H130">
        <v>1</v>
      </c>
      <c r="I130">
        <v>1</v>
      </c>
      <c r="J130">
        <v>0</v>
      </c>
      <c r="K130">
        <v>10</v>
      </c>
      <c r="L130">
        <v>10</v>
      </c>
      <c r="M130">
        <v>0.1</v>
      </c>
    </row>
    <row r="131" spans="1:13" x14ac:dyDescent="0.35">
      <c r="A131" t="s">
        <v>144</v>
      </c>
      <c r="B131" t="s">
        <v>36</v>
      </c>
      <c r="C131" t="s">
        <v>158</v>
      </c>
      <c r="D131" t="s">
        <v>146</v>
      </c>
      <c r="E131" t="s">
        <v>168</v>
      </c>
      <c r="F131" t="s">
        <v>16</v>
      </c>
      <c r="G131" t="s">
        <v>17</v>
      </c>
      <c r="H131">
        <v>1</v>
      </c>
      <c r="I131">
        <v>1</v>
      </c>
      <c r="J131">
        <v>0</v>
      </c>
      <c r="K131">
        <v>32</v>
      </c>
      <c r="L131">
        <v>32</v>
      </c>
      <c r="M131">
        <v>3.125E-2</v>
      </c>
    </row>
    <row r="132" spans="1:13" x14ac:dyDescent="0.35">
      <c r="A132" t="s">
        <v>144</v>
      </c>
      <c r="B132" t="s">
        <v>36</v>
      </c>
      <c r="C132" t="s">
        <v>152</v>
      </c>
      <c r="D132" t="s">
        <v>146</v>
      </c>
      <c r="E132" t="s">
        <v>169</v>
      </c>
      <c r="F132" t="s">
        <v>23</v>
      </c>
      <c r="G132" t="s">
        <v>18</v>
      </c>
      <c r="H132">
        <v>6</v>
      </c>
      <c r="I132">
        <v>6</v>
      </c>
      <c r="J132">
        <v>0</v>
      </c>
      <c r="K132">
        <v>71</v>
      </c>
      <c r="L132">
        <v>60</v>
      </c>
      <c r="M132">
        <v>0.1</v>
      </c>
    </row>
    <row r="133" spans="1:13" x14ac:dyDescent="0.35">
      <c r="A133" t="s">
        <v>144</v>
      </c>
      <c r="B133" t="s">
        <v>36</v>
      </c>
      <c r="C133" t="s">
        <v>148</v>
      </c>
      <c r="D133" t="s">
        <v>146</v>
      </c>
      <c r="E133" t="s">
        <v>169</v>
      </c>
      <c r="F133" t="s">
        <v>23</v>
      </c>
      <c r="G133" t="s">
        <v>18</v>
      </c>
      <c r="H133">
        <v>10</v>
      </c>
      <c r="I133">
        <v>10</v>
      </c>
      <c r="J133">
        <v>0</v>
      </c>
      <c r="K133">
        <v>187</v>
      </c>
      <c r="L133">
        <v>180</v>
      </c>
      <c r="M133">
        <v>5.5555555555555552E-2</v>
      </c>
    </row>
    <row r="134" spans="1:13" x14ac:dyDescent="0.35">
      <c r="A134" t="s">
        <v>144</v>
      </c>
      <c r="B134" t="s">
        <v>36</v>
      </c>
      <c r="C134" t="s">
        <v>145</v>
      </c>
      <c r="D134" t="s">
        <v>146</v>
      </c>
      <c r="E134" t="s">
        <v>170</v>
      </c>
      <c r="F134" t="s">
        <v>28</v>
      </c>
      <c r="G134" t="s">
        <v>29</v>
      </c>
      <c r="H134">
        <v>3</v>
      </c>
      <c r="I134">
        <v>3</v>
      </c>
      <c r="J134">
        <v>0</v>
      </c>
      <c r="K134">
        <v>25</v>
      </c>
      <c r="L134">
        <v>25</v>
      </c>
      <c r="M134">
        <v>0.12</v>
      </c>
    </row>
    <row r="135" spans="1:13" x14ac:dyDescent="0.35">
      <c r="A135" t="s">
        <v>144</v>
      </c>
      <c r="B135" t="s">
        <v>36</v>
      </c>
      <c r="C135" t="s">
        <v>150</v>
      </c>
      <c r="D135" t="s">
        <v>146</v>
      </c>
      <c r="E135" t="s">
        <v>170</v>
      </c>
      <c r="F135" t="s">
        <v>16</v>
      </c>
      <c r="G135" t="s">
        <v>17</v>
      </c>
      <c r="H135">
        <v>1</v>
      </c>
      <c r="I135">
        <v>1</v>
      </c>
      <c r="J135">
        <v>0</v>
      </c>
      <c r="K135">
        <v>15</v>
      </c>
      <c r="L135">
        <v>15</v>
      </c>
      <c r="M135">
        <v>6.6666666666666666E-2</v>
      </c>
    </row>
    <row r="136" spans="1:13" x14ac:dyDescent="0.35">
      <c r="A136" t="s">
        <v>144</v>
      </c>
      <c r="B136" t="s">
        <v>36</v>
      </c>
      <c r="C136" t="s">
        <v>151</v>
      </c>
      <c r="D136" t="s">
        <v>146</v>
      </c>
      <c r="E136" t="s">
        <v>170</v>
      </c>
      <c r="F136" t="s">
        <v>16</v>
      </c>
      <c r="G136" t="s">
        <v>17</v>
      </c>
      <c r="H136">
        <v>0</v>
      </c>
      <c r="I136">
        <v>0</v>
      </c>
      <c r="J136">
        <v>0</v>
      </c>
      <c r="K136">
        <v>12</v>
      </c>
      <c r="L136">
        <v>12</v>
      </c>
      <c r="M136">
        <v>0</v>
      </c>
    </row>
    <row r="137" spans="1:13" x14ac:dyDescent="0.35">
      <c r="A137" t="s">
        <v>144</v>
      </c>
      <c r="B137" t="s">
        <v>36</v>
      </c>
      <c r="C137" t="s">
        <v>152</v>
      </c>
      <c r="D137" t="s">
        <v>146</v>
      </c>
      <c r="E137" t="s">
        <v>170</v>
      </c>
      <c r="F137" t="s">
        <v>16</v>
      </c>
      <c r="G137" t="s">
        <v>17</v>
      </c>
      <c r="H137">
        <v>12</v>
      </c>
      <c r="I137">
        <v>12</v>
      </c>
      <c r="J137">
        <v>0</v>
      </c>
      <c r="K137">
        <v>69</v>
      </c>
      <c r="L137">
        <v>63</v>
      </c>
      <c r="M137">
        <v>0.19047619047619047</v>
      </c>
    </row>
    <row r="138" spans="1:13" x14ac:dyDescent="0.35">
      <c r="A138" t="s">
        <v>144</v>
      </c>
      <c r="B138" t="s">
        <v>36</v>
      </c>
      <c r="C138" t="s">
        <v>153</v>
      </c>
      <c r="D138" t="s">
        <v>146</v>
      </c>
      <c r="E138" t="s">
        <v>170</v>
      </c>
      <c r="F138" t="s">
        <v>16</v>
      </c>
      <c r="G138" t="s">
        <v>17</v>
      </c>
      <c r="H138">
        <v>0</v>
      </c>
      <c r="I138">
        <v>0</v>
      </c>
      <c r="J138">
        <v>0</v>
      </c>
      <c r="K138">
        <v>4</v>
      </c>
      <c r="L138">
        <v>4</v>
      </c>
      <c r="M138">
        <v>0</v>
      </c>
    </row>
    <row r="139" spans="1:13" x14ac:dyDescent="0.35">
      <c r="A139" t="s">
        <v>144</v>
      </c>
      <c r="B139" t="s">
        <v>36</v>
      </c>
      <c r="C139" t="s">
        <v>154</v>
      </c>
      <c r="D139" t="s">
        <v>146</v>
      </c>
      <c r="E139" t="s">
        <v>170</v>
      </c>
      <c r="F139" t="s">
        <v>16</v>
      </c>
      <c r="G139" t="s">
        <v>17</v>
      </c>
      <c r="H139">
        <v>1</v>
      </c>
      <c r="I139">
        <v>1</v>
      </c>
      <c r="J139">
        <v>0</v>
      </c>
      <c r="K139">
        <v>17</v>
      </c>
      <c r="L139">
        <v>17</v>
      </c>
      <c r="M139">
        <v>5.8823529411764705E-2</v>
      </c>
    </row>
    <row r="140" spans="1:13" x14ac:dyDescent="0.35">
      <c r="A140" t="s">
        <v>144</v>
      </c>
      <c r="B140" t="s">
        <v>36</v>
      </c>
      <c r="C140" t="s">
        <v>148</v>
      </c>
      <c r="D140" t="s">
        <v>146</v>
      </c>
      <c r="E140" t="s">
        <v>170</v>
      </c>
      <c r="F140" t="s">
        <v>16</v>
      </c>
      <c r="G140" t="s">
        <v>17</v>
      </c>
      <c r="H140">
        <v>7</v>
      </c>
      <c r="I140">
        <v>7</v>
      </c>
      <c r="J140">
        <v>0</v>
      </c>
      <c r="K140">
        <v>146</v>
      </c>
      <c r="L140">
        <v>135</v>
      </c>
      <c r="M140">
        <v>5.185185185185185E-2</v>
      </c>
    </row>
    <row r="141" spans="1:13" x14ac:dyDescent="0.35">
      <c r="A141" t="s">
        <v>144</v>
      </c>
      <c r="B141" t="s">
        <v>36</v>
      </c>
      <c r="C141" t="s">
        <v>155</v>
      </c>
      <c r="D141" t="s">
        <v>146</v>
      </c>
      <c r="E141" t="s">
        <v>170</v>
      </c>
      <c r="F141" t="s">
        <v>16</v>
      </c>
      <c r="G141" t="s">
        <v>17</v>
      </c>
      <c r="H141">
        <v>1</v>
      </c>
      <c r="I141">
        <v>1</v>
      </c>
      <c r="J141">
        <v>0</v>
      </c>
      <c r="K141">
        <v>13</v>
      </c>
      <c r="L141">
        <v>13</v>
      </c>
      <c r="M141">
        <v>7.6923076923076927E-2</v>
      </c>
    </row>
    <row r="142" spans="1:13" x14ac:dyDescent="0.35">
      <c r="A142" t="s">
        <v>144</v>
      </c>
      <c r="B142" t="s">
        <v>36</v>
      </c>
      <c r="C142" t="s">
        <v>156</v>
      </c>
      <c r="D142" t="s">
        <v>146</v>
      </c>
      <c r="E142" t="s">
        <v>170</v>
      </c>
      <c r="F142" t="s">
        <v>16</v>
      </c>
      <c r="G142" t="s">
        <v>17</v>
      </c>
      <c r="H142">
        <v>1</v>
      </c>
      <c r="I142">
        <v>1</v>
      </c>
      <c r="J142">
        <v>0</v>
      </c>
      <c r="K142">
        <v>12</v>
      </c>
      <c r="L142">
        <v>12</v>
      </c>
      <c r="M142">
        <v>8.3333333333333329E-2</v>
      </c>
    </row>
    <row r="143" spans="1:13" x14ac:dyDescent="0.35">
      <c r="A143" t="s">
        <v>144</v>
      </c>
      <c r="B143" t="s">
        <v>36</v>
      </c>
      <c r="C143" t="s">
        <v>157</v>
      </c>
      <c r="D143" t="s">
        <v>146</v>
      </c>
      <c r="E143" t="s">
        <v>170</v>
      </c>
      <c r="F143" t="s">
        <v>16</v>
      </c>
      <c r="G143" t="s">
        <v>17</v>
      </c>
      <c r="H143">
        <v>1</v>
      </c>
      <c r="I143">
        <v>1</v>
      </c>
      <c r="J143">
        <v>0</v>
      </c>
      <c r="K143">
        <v>17</v>
      </c>
      <c r="L143">
        <v>15</v>
      </c>
      <c r="M143">
        <v>6.6666666666666666E-2</v>
      </c>
    </row>
    <row r="144" spans="1:13" x14ac:dyDescent="0.35">
      <c r="A144" t="s">
        <v>144</v>
      </c>
      <c r="B144" t="s">
        <v>36</v>
      </c>
      <c r="C144" t="s">
        <v>158</v>
      </c>
      <c r="D144" t="s">
        <v>146</v>
      </c>
      <c r="E144" t="s">
        <v>170</v>
      </c>
      <c r="F144" t="s">
        <v>16</v>
      </c>
      <c r="G144" t="s">
        <v>17</v>
      </c>
      <c r="H144">
        <v>5</v>
      </c>
      <c r="I144">
        <v>5</v>
      </c>
      <c r="J144">
        <v>0</v>
      </c>
      <c r="K144">
        <v>28</v>
      </c>
      <c r="L144">
        <v>28</v>
      </c>
      <c r="M144">
        <v>0.17857142857142858</v>
      </c>
    </row>
    <row r="145" spans="1:13" x14ac:dyDescent="0.35">
      <c r="A145" t="s">
        <v>144</v>
      </c>
      <c r="B145" t="s">
        <v>36</v>
      </c>
      <c r="C145" t="s">
        <v>145</v>
      </c>
      <c r="D145" t="s">
        <v>146</v>
      </c>
      <c r="E145" t="s">
        <v>172</v>
      </c>
      <c r="F145" t="s">
        <v>16</v>
      </c>
      <c r="G145" t="s">
        <v>173</v>
      </c>
      <c r="H145">
        <v>5</v>
      </c>
      <c r="I145">
        <v>4</v>
      </c>
      <c r="J145">
        <v>0</v>
      </c>
      <c r="K145">
        <v>35</v>
      </c>
      <c r="L145">
        <v>34</v>
      </c>
      <c r="M145">
        <v>0.14705882352941177</v>
      </c>
    </row>
    <row r="146" spans="1:13" x14ac:dyDescent="0.35">
      <c r="A146" t="s">
        <v>144</v>
      </c>
      <c r="B146" t="s">
        <v>36</v>
      </c>
      <c r="C146" t="s">
        <v>158</v>
      </c>
      <c r="D146" t="s">
        <v>162</v>
      </c>
      <c r="E146" t="s">
        <v>171</v>
      </c>
      <c r="F146" t="s">
        <v>21</v>
      </c>
      <c r="G146" t="s">
        <v>164</v>
      </c>
      <c r="H146">
        <v>7</v>
      </c>
      <c r="I146">
        <v>7</v>
      </c>
      <c r="J146">
        <v>0</v>
      </c>
      <c r="K146">
        <v>48</v>
      </c>
      <c r="L146">
        <v>41</v>
      </c>
      <c r="M146">
        <v>0.17073170731707318</v>
      </c>
    </row>
    <row r="147" spans="1:13" x14ac:dyDescent="0.35">
      <c r="A147" t="s">
        <v>174</v>
      </c>
      <c r="B147" t="s">
        <v>13</v>
      </c>
      <c r="C147" t="s">
        <v>145</v>
      </c>
      <c r="D147" t="s">
        <v>162</v>
      </c>
      <c r="E147" t="s">
        <v>175</v>
      </c>
      <c r="F147" t="s">
        <v>18</v>
      </c>
      <c r="G147" t="s">
        <v>38</v>
      </c>
      <c r="H147">
        <v>4</v>
      </c>
      <c r="I147">
        <v>0</v>
      </c>
      <c r="J147">
        <v>0</v>
      </c>
      <c r="K147">
        <v>47</v>
      </c>
      <c r="L147">
        <v>38</v>
      </c>
      <c r="M147">
        <v>0.10526315789473684</v>
      </c>
    </row>
    <row r="148" spans="1:13" x14ac:dyDescent="0.35">
      <c r="A148" t="s">
        <v>174</v>
      </c>
      <c r="B148" t="s">
        <v>13</v>
      </c>
      <c r="C148" t="s">
        <v>155</v>
      </c>
      <c r="D148" t="s">
        <v>146</v>
      </c>
      <c r="E148" t="s">
        <v>176</v>
      </c>
      <c r="F148" t="s">
        <v>16</v>
      </c>
      <c r="G148" t="s">
        <v>17</v>
      </c>
      <c r="H148">
        <v>2</v>
      </c>
      <c r="I148">
        <v>0</v>
      </c>
      <c r="J148">
        <v>1</v>
      </c>
      <c r="K148">
        <v>119</v>
      </c>
      <c r="L148">
        <v>118</v>
      </c>
      <c r="M148">
        <v>1.6949152542372881E-2</v>
      </c>
    </row>
    <row r="149" spans="1:13" x14ac:dyDescent="0.35">
      <c r="A149" t="s">
        <v>174</v>
      </c>
      <c r="B149" t="s">
        <v>13</v>
      </c>
      <c r="C149" t="s">
        <v>148</v>
      </c>
      <c r="D149" t="s">
        <v>146</v>
      </c>
      <c r="E149" t="s">
        <v>176</v>
      </c>
      <c r="F149" t="s">
        <v>16</v>
      </c>
      <c r="G149" t="s">
        <v>17</v>
      </c>
      <c r="H149">
        <v>8</v>
      </c>
      <c r="I149">
        <v>0</v>
      </c>
      <c r="J149">
        <v>3</v>
      </c>
      <c r="K149">
        <v>261</v>
      </c>
      <c r="L149">
        <v>255</v>
      </c>
      <c r="M149">
        <v>3.1372549019607843E-2</v>
      </c>
    </row>
    <row r="150" spans="1:13" x14ac:dyDescent="0.35">
      <c r="A150" t="s">
        <v>174</v>
      </c>
      <c r="B150" t="s">
        <v>13</v>
      </c>
      <c r="C150" t="s">
        <v>151</v>
      </c>
      <c r="D150" t="s">
        <v>146</v>
      </c>
      <c r="E150" t="s">
        <v>176</v>
      </c>
      <c r="F150" t="s">
        <v>16</v>
      </c>
      <c r="G150" t="s">
        <v>17</v>
      </c>
      <c r="H150">
        <v>55537</v>
      </c>
      <c r="I150">
        <v>2</v>
      </c>
      <c r="J150">
        <v>19</v>
      </c>
      <c r="K150">
        <v>533898</v>
      </c>
      <c r="L150">
        <v>526835</v>
      </c>
      <c r="M150">
        <v>0.10541630681332866</v>
      </c>
    </row>
    <row r="151" spans="1:13" x14ac:dyDescent="0.35">
      <c r="A151" t="s">
        <v>174</v>
      </c>
      <c r="B151" t="s">
        <v>13</v>
      </c>
      <c r="C151" t="s">
        <v>158</v>
      </c>
      <c r="D151" t="s">
        <v>146</v>
      </c>
      <c r="E151" t="s">
        <v>176</v>
      </c>
      <c r="F151" t="s">
        <v>16</v>
      </c>
      <c r="G151" t="s">
        <v>17</v>
      </c>
      <c r="H151">
        <v>11</v>
      </c>
      <c r="I151">
        <v>0</v>
      </c>
      <c r="J151">
        <v>3</v>
      </c>
      <c r="K151">
        <v>1066</v>
      </c>
      <c r="L151">
        <v>1058</v>
      </c>
      <c r="M151">
        <v>1.0396975425330813E-2</v>
      </c>
    </row>
    <row r="152" spans="1:13" x14ac:dyDescent="0.35">
      <c r="A152" t="s">
        <v>174</v>
      </c>
      <c r="B152" t="s">
        <v>13</v>
      </c>
      <c r="C152" t="s">
        <v>152</v>
      </c>
      <c r="D152" t="s">
        <v>146</v>
      </c>
      <c r="E152" t="s">
        <v>176</v>
      </c>
      <c r="F152" t="s">
        <v>16</v>
      </c>
      <c r="G152" t="s">
        <v>17</v>
      </c>
      <c r="H152">
        <v>5367</v>
      </c>
      <c r="I152">
        <v>0</v>
      </c>
      <c r="J152">
        <v>54</v>
      </c>
      <c r="K152">
        <v>690710</v>
      </c>
      <c r="L152">
        <v>677694</v>
      </c>
      <c r="M152">
        <v>7.9195034927268051E-3</v>
      </c>
    </row>
    <row r="153" spans="1:13" x14ac:dyDescent="0.35">
      <c r="A153" t="s">
        <v>174</v>
      </c>
      <c r="B153" t="s">
        <v>13</v>
      </c>
      <c r="C153" t="s">
        <v>150</v>
      </c>
      <c r="D153" t="s">
        <v>146</v>
      </c>
      <c r="E153" t="s">
        <v>176</v>
      </c>
      <c r="F153" t="s">
        <v>16</v>
      </c>
      <c r="G153" t="s">
        <v>17</v>
      </c>
      <c r="H153">
        <v>0</v>
      </c>
      <c r="I153">
        <v>0</v>
      </c>
      <c r="J153">
        <v>0</v>
      </c>
      <c r="K153">
        <v>96</v>
      </c>
      <c r="L153">
        <v>94</v>
      </c>
      <c r="M153">
        <v>0</v>
      </c>
    </row>
    <row r="154" spans="1:13" x14ac:dyDescent="0.35">
      <c r="A154" t="s">
        <v>174</v>
      </c>
      <c r="B154" t="s">
        <v>13</v>
      </c>
      <c r="C154" t="s">
        <v>157</v>
      </c>
      <c r="D154" t="s">
        <v>146</v>
      </c>
      <c r="E154" t="s">
        <v>176</v>
      </c>
      <c r="F154" t="s">
        <v>16</v>
      </c>
      <c r="G154" t="s">
        <v>17</v>
      </c>
      <c r="H154">
        <v>5</v>
      </c>
      <c r="I154">
        <v>0</v>
      </c>
      <c r="J154">
        <v>0</v>
      </c>
      <c r="K154">
        <v>688</v>
      </c>
      <c r="L154">
        <v>634</v>
      </c>
      <c r="M154">
        <v>7.8864353312302835E-3</v>
      </c>
    </row>
    <row r="155" spans="1:13" x14ac:dyDescent="0.35">
      <c r="A155" t="s">
        <v>174</v>
      </c>
      <c r="B155" t="s">
        <v>13</v>
      </c>
      <c r="C155" t="s">
        <v>154</v>
      </c>
      <c r="D155" t="s">
        <v>146</v>
      </c>
      <c r="E155" t="s">
        <v>176</v>
      </c>
      <c r="F155" t="s">
        <v>16</v>
      </c>
      <c r="G155" t="s">
        <v>17</v>
      </c>
      <c r="H155">
        <v>23984</v>
      </c>
      <c r="I155">
        <v>0</v>
      </c>
      <c r="J155">
        <v>3</v>
      </c>
      <c r="K155">
        <v>264871</v>
      </c>
      <c r="L155">
        <v>264871</v>
      </c>
      <c r="M155">
        <v>9.054973930705891E-2</v>
      </c>
    </row>
    <row r="156" spans="1:13" x14ac:dyDescent="0.35">
      <c r="A156" t="s">
        <v>174</v>
      </c>
      <c r="B156" t="s">
        <v>13</v>
      </c>
      <c r="C156" t="s">
        <v>153</v>
      </c>
      <c r="D156" t="s">
        <v>146</v>
      </c>
      <c r="E156" t="s">
        <v>176</v>
      </c>
      <c r="F156" t="s">
        <v>16</v>
      </c>
      <c r="G156" t="s">
        <v>17</v>
      </c>
      <c r="H156">
        <v>109838</v>
      </c>
      <c r="I156">
        <v>0</v>
      </c>
      <c r="J156">
        <v>14</v>
      </c>
      <c r="K156">
        <v>555266</v>
      </c>
      <c r="L156">
        <v>555266</v>
      </c>
      <c r="M156">
        <v>0.19781149935346304</v>
      </c>
    </row>
    <row r="157" spans="1:13" x14ac:dyDescent="0.35">
      <c r="A157" t="s">
        <v>174</v>
      </c>
      <c r="B157" t="s">
        <v>13</v>
      </c>
      <c r="C157" t="s">
        <v>156</v>
      </c>
      <c r="D157" t="s">
        <v>146</v>
      </c>
      <c r="E157" t="s">
        <v>176</v>
      </c>
      <c r="F157" t="s">
        <v>16</v>
      </c>
      <c r="G157" t="s">
        <v>17</v>
      </c>
      <c r="H157">
        <v>6100</v>
      </c>
      <c r="I157">
        <v>0</v>
      </c>
      <c r="J157">
        <v>9</v>
      </c>
      <c r="K157">
        <v>141434</v>
      </c>
      <c r="L157">
        <v>141434</v>
      </c>
      <c r="M157">
        <v>4.3129657649504362E-2</v>
      </c>
    </row>
    <row r="158" spans="1:13" x14ac:dyDescent="0.35">
      <c r="A158" t="s">
        <v>174</v>
      </c>
      <c r="B158" t="s">
        <v>13</v>
      </c>
      <c r="C158" t="s">
        <v>149</v>
      </c>
      <c r="D158" t="s">
        <v>146</v>
      </c>
      <c r="E158" t="s">
        <v>176</v>
      </c>
      <c r="F158" t="s">
        <v>16</v>
      </c>
      <c r="G158" t="s">
        <v>17</v>
      </c>
      <c r="H158">
        <v>0</v>
      </c>
      <c r="I158">
        <v>0</v>
      </c>
      <c r="J158">
        <v>0</v>
      </c>
      <c r="K158">
        <v>213</v>
      </c>
      <c r="L158">
        <v>206</v>
      </c>
      <c r="M158">
        <v>0</v>
      </c>
    </row>
    <row r="159" spans="1:13" x14ac:dyDescent="0.35">
      <c r="A159" t="s">
        <v>174</v>
      </c>
      <c r="B159" t="s">
        <v>13</v>
      </c>
      <c r="C159" t="s">
        <v>156</v>
      </c>
      <c r="D159" t="s">
        <v>146</v>
      </c>
      <c r="E159" t="s">
        <v>177</v>
      </c>
      <c r="F159" t="s">
        <v>19</v>
      </c>
      <c r="G159" t="s">
        <v>18</v>
      </c>
      <c r="H159">
        <v>8</v>
      </c>
      <c r="I159">
        <v>0</v>
      </c>
      <c r="J159">
        <v>2</v>
      </c>
      <c r="K159">
        <v>61</v>
      </c>
      <c r="L159">
        <v>53</v>
      </c>
      <c r="M159">
        <v>0.15094339622641509</v>
      </c>
    </row>
    <row r="160" spans="1:13" x14ac:dyDescent="0.35">
      <c r="A160" t="s">
        <v>174</v>
      </c>
      <c r="B160" t="s">
        <v>13</v>
      </c>
      <c r="C160" t="s">
        <v>151</v>
      </c>
      <c r="D160" t="s">
        <v>146</v>
      </c>
      <c r="E160" t="s">
        <v>177</v>
      </c>
      <c r="F160" t="s">
        <v>19</v>
      </c>
      <c r="G160" t="s">
        <v>18</v>
      </c>
      <c r="H160">
        <v>3</v>
      </c>
      <c r="I160">
        <v>0</v>
      </c>
      <c r="J160">
        <v>0</v>
      </c>
      <c r="K160">
        <v>63</v>
      </c>
      <c r="L160">
        <v>60</v>
      </c>
      <c r="M160">
        <v>0.05</v>
      </c>
    </row>
    <row r="161" spans="1:13" x14ac:dyDescent="0.35">
      <c r="A161" t="s">
        <v>174</v>
      </c>
      <c r="B161" t="s">
        <v>13</v>
      </c>
      <c r="C161" t="s">
        <v>148</v>
      </c>
      <c r="D161" t="s">
        <v>146</v>
      </c>
      <c r="E161" t="s">
        <v>177</v>
      </c>
      <c r="F161" t="s">
        <v>19</v>
      </c>
      <c r="G161" t="s">
        <v>18</v>
      </c>
      <c r="H161">
        <v>7</v>
      </c>
      <c r="I161">
        <v>0</v>
      </c>
      <c r="J161">
        <v>2</v>
      </c>
      <c r="K161">
        <v>396</v>
      </c>
      <c r="L161">
        <v>392</v>
      </c>
      <c r="M161">
        <v>1.7857142857142856E-2</v>
      </c>
    </row>
    <row r="162" spans="1:13" x14ac:dyDescent="0.35">
      <c r="A162" t="s">
        <v>174</v>
      </c>
      <c r="B162" t="s">
        <v>13</v>
      </c>
      <c r="C162" t="s">
        <v>153</v>
      </c>
      <c r="D162" t="s">
        <v>146</v>
      </c>
      <c r="E162" t="s">
        <v>177</v>
      </c>
      <c r="F162" t="s">
        <v>19</v>
      </c>
      <c r="G162" t="s">
        <v>18</v>
      </c>
      <c r="H162">
        <v>1</v>
      </c>
      <c r="I162">
        <v>0</v>
      </c>
      <c r="J162">
        <v>0</v>
      </c>
      <c r="K162">
        <v>68</v>
      </c>
      <c r="L162">
        <v>66</v>
      </c>
      <c r="M162">
        <v>1.5151515151515152E-2</v>
      </c>
    </row>
    <row r="163" spans="1:13" x14ac:dyDescent="0.35">
      <c r="A163" t="s">
        <v>174</v>
      </c>
      <c r="B163" t="s">
        <v>13</v>
      </c>
      <c r="C163" t="s">
        <v>158</v>
      </c>
      <c r="D163" t="s">
        <v>146</v>
      </c>
      <c r="E163" t="s">
        <v>177</v>
      </c>
      <c r="F163" t="s">
        <v>19</v>
      </c>
      <c r="G163" t="s">
        <v>18</v>
      </c>
      <c r="H163">
        <v>6</v>
      </c>
      <c r="I163">
        <v>0</v>
      </c>
      <c r="J163">
        <v>3</v>
      </c>
      <c r="K163">
        <v>1280</v>
      </c>
      <c r="L163">
        <v>1267</v>
      </c>
      <c r="M163">
        <v>4.7355958958168907E-3</v>
      </c>
    </row>
    <row r="164" spans="1:13" x14ac:dyDescent="0.35">
      <c r="A164" t="s">
        <v>174</v>
      </c>
      <c r="B164" t="s">
        <v>13</v>
      </c>
      <c r="C164" t="s">
        <v>152</v>
      </c>
      <c r="D164" t="s">
        <v>146</v>
      </c>
      <c r="E164" t="s">
        <v>177</v>
      </c>
      <c r="F164" t="s">
        <v>19</v>
      </c>
      <c r="G164" t="s">
        <v>18</v>
      </c>
      <c r="H164">
        <v>10</v>
      </c>
      <c r="I164">
        <v>0</v>
      </c>
      <c r="J164">
        <v>6</v>
      </c>
      <c r="K164">
        <v>38</v>
      </c>
      <c r="L164">
        <v>38</v>
      </c>
      <c r="M164">
        <v>0.26315789473684209</v>
      </c>
    </row>
    <row r="165" spans="1:13" x14ac:dyDescent="0.35">
      <c r="A165" t="s">
        <v>174</v>
      </c>
      <c r="B165" t="s">
        <v>13</v>
      </c>
      <c r="C165" t="s">
        <v>149</v>
      </c>
      <c r="D165" t="s">
        <v>146</v>
      </c>
      <c r="E165" t="s">
        <v>177</v>
      </c>
      <c r="F165" t="s">
        <v>19</v>
      </c>
      <c r="G165" t="s">
        <v>18</v>
      </c>
      <c r="H165">
        <v>0</v>
      </c>
      <c r="I165">
        <v>0</v>
      </c>
      <c r="J165">
        <v>0</v>
      </c>
      <c r="K165">
        <v>220</v>
      </c>
      <c r="L165">
        <v>213</v>
      </c>
      <c r="M165">
        <v>0</v>
      </c>
    </row>
    <row r="166" spans="1:13" x14ac:dyDescent="0.35">
      <c r="A166" t="s">
        <v>174</v>
      </c>
      <c r="B166" t="s">
        <v>13</v>
      </c>
      <c r="C166" t="s">
        <v>150</v>
      </c>
      <c r="D166" t="s">
        <v>146</v>
      </c>
      <c r="E166" t="s">
        <v>177</v>
      </c>
      <c r="F166" t="s">
        <v>19</v>
      </c>
      <c r="G166" t="s">
        <v>18</v>
      </c>
      <c r="H166">
        <v>0</v>
      </c>
      <c r="I166">
        <v>0</v>
      </c>
      <c r="J166">
        <v>0</v>
      </c>
      <c r="K166">
        <v>89</v>
      </c>
      <c r="L166">
        <v>86</v>
      </c>
      <c r="M166">
        <v>0</v>
      </c>
    </row>
    <row r="167" spans="1:13" x14ac:dyDescent="0.35">
      <c r="A167" t="s">
        <v>174</v>
      </c>
      <c r="B167" t="s">
        <v>13</v>
      </c>
      <c r="C167" t="s">
        <v>157</v>
      </c>
      <c r="D167" t="s">
        <v>146</v>
      </c>
      <c r="E167" t="s">
        <v>177</v>
      </c>
      <c r="F167" t="s">
        <v>19</v>
      </c>
      <c r="G167" t="s">
        <v>18</v>
      </c>
      <c r="H167">
        <v>4</v>
      </c>
      <c r="I167">
        <v>0</v>
      </c>
      <c r="J167">
        <v>0</v>
      </c>
      <c r="K167">
        <v>766</v>
      </c>
      <c r="L167">
        <v>728</v>
      </c>
      <c r="M167">
        <v>5.4945054945054949E-3</v>
      </c>
    </row>
    <row r="168" spans="1:13" x14ac:dyDescent="0.35">
      <c r="A168" t="s">
        <v>174</v>
      </c>
      <c r="B168" t="s">
        <v>13</v>
      </c>
      <c r="C168" t="s">
        <v>155</v>
      </c>
      <c r="D168" t="s">
        <v>146</v>
      </c>
      <c r="E168" t="s">
        <v>177</v>
      </c>
      <c r="F168" t="s">
        <v>19</v>
      </c>
      <c r="G168" t="s">
        <v>18</v>
      </c>
      <c r="H168">
        <v>2</v>
      </c>
      <c r="I168">
        <v>0</v>
      </c>
      <c r="J168">
        <v>1</v>
      </c>
      <c r="K168">
        <v>138</v>
      </c>
      <c r="L168">
        <v>137</v>
      </c>
      <c r="M168">
        <v>1.4598540145985401E-2</v>
      </c>
    </row>
    <row r="169" spans="1:13" x14ac:dyDescent="0.35">
      <c r="A169" t="s">
        <v>174</v>
      </c>
      <c r="B169" t="s">
        <v>13</v>
      </c>
      <c r="C169" t="s">
        <v>154</v>
      </c>
      <c r="D169" t="s">
        <v>146</v>
      </c>
      <c r="E169" t="s">
        <v>177</v>
      </c>
      <c r="F169" t="s">
        <v>19</v>
      </c>
      <c r="G169" t="s">
        <v>18</v>
      </c>
      <c r="H169">
        <v>0</v>
      </c>
      <c r="I169">
        <v>0</v>
      </c>
      <c r="J169">
        <v>0</v>
      </c>
      <c r="K169">
        <v>46</v>
      </c>
      <c r="L169">
        <v>44</v>
      </c>
      <c r="M169">
        <v>0</v>
      </c>
    </row>
    <row r="170" spans="1:13" x14ac:dyDescent="0.35">
      <c r="A170" t="s">
        <v>174</v>
      </c>
      <c r="B170" t="s">
        <v>13</v>
      </c>
      <c r="C170" t="s">
        <v>145</v>
      </c>
      <c r="D170" t="s">
        <v>162</v>
      </c>
      <c r="E170" t="s">
        <v>177</v>
      </c>
      <c r="F170" t="s">
        <v>28</v>
      </c>
      <c r="G170" t="s">
        <v>29</v>
      </c>
      <c r="H170">
        <v>2</v>
      </c>
      <c r="I170">
        <v>0</v>
      </c>
      <c r="J170">
        <v>0</v>
      </c>
      <c r="K170">
        <v>26</v>
      </c>
      <c r="L170">
        <v>23</v>
      </c>
      <c r="M170">
        <v>8.6956521739130432E-2</v>
      </c>
    </row>
    <row r="171" spans="1:13" x14ac:dyDescent="0.35">
      <c r="A171" t="s">
        <v>174</v>
      </c>
      <c r="B171" t="s">
        <v>13</v>
      </c>
      <c r="C171" t="s">
        <v>145</v>
      </c>
      <c r="D171" t="s">
        <v>146</v>
      </c>
      <c r="E171" t="s">
        <v>178</v>
      </c>
      <c r="F171" t="s">
        <v>28</v>
      </c>
      <c r="G171" t="s">
        <v>29</v>
      </c>
      <c r="H171">
        <v>2</v>
      </c>
      <c r="I171">
        <v>0</v>
      </c>
      <c r="J171">
        <v>0</v>
      </c>
      <c r="K171">
        <v>16</v>
      </c>
      <c r="L171">
        <v>10</v>
      </c>
      <c r="M171">
        <v>0.2</v>
      </c>
    </row>
    <row r="172" spans="1:13" x14ac:dyDescent="0.35">
      <c r="A172" t="s">
        <v>174</v>
      </c>
      <c r="B172" t="s">
        <v>13</v>
      </c>
      <c r="C172" t="s">
        <v>158</v>
      </c>
      <c r="D172" t="s">
        <v>146</v>
      </c>
      <c r="E172" t="s">
        <v>178</v>
      </c>
      <c r="F172" t="s">
        <v>16</v>
      </c>
      <c r="G172" t="s">
        <v>20</v>
      </c>
      <c r="H172">
        <v>9</v>
      </c>
      <c r="I172">
        <v>0</v>
      </c>
      <c r="J172">
        <v>1</v>
      </c>
      <c r="K172">
        <v>1122</v>
      </c>
      <c r="L172">
        <v>1122</v>
      </c>
      <c r="M172">
        <v>8.0213903743315516E-3</v>
      </c>
    </row>
    <row r="173" spans="1:13" x14ac:dyDescent="0.35">
      <c r="A173" t="s">
        <v>174</v>
      </c>
      <c r="B173" t="s">
        <v>13</v>
      </c>
      <c r="C173" t="s">
        <v>157</v>
      </c>
      <c r="D173" t="s">
        <v>146</v>
      </c>
      <c r="E173" t="s">
        <v>178</v>
      </c>
      <c r="F173" t="s">
        <v>16</v>
      </c>
      <c r="G173" t="s">
        <v>20</v>
      </c>
      <c r="H173">
        <v>5</v>
      </c>
      <c r="I173">
        <v>0</v>
      </c>
      <c r="J173">
        <v>0</v>
      </c>
      <c r="K173">
        <v>884</v>
      </c>
      <c r="L173">
        <v>855</v>
      </c>
      <c r="M173">
        <v>5.8479532163742687E-3</v>
      </c>
    </row>
    <row r="174" spans="1:13" x14ac:dyDescent="0.35">
      <c r="A174" t="s">
        <v>174</v>
      </c>
      <c r="B174" t="s">
        <v>13</v>
      </c>
      <c r="C174" t="s">
        <v>156</v>
      </c>
      <c r="D174" t="s">
        <v>146</v>
      </c>
      <c r="E174" t="s">
        <v>178</v>
      </c>
      <c r="F174" t="s">
        <v>16</v>
      </c>
      <c r="G174" t="s">
        <v>20</v>
      </c>
      <c r="H174">
        <v>7</v>
      </c>
      <c r="I174">
        <v>2</v>
      </c>
      <c r="J174">
        <v>2</v>
      </c>
      <c r="K174">
        <v>49</v>
      </c>
      <c r="L174">
        <v>46</v>
      </c>
      <c r="M174">
        <v>0.15217391304347827</v>
      </c>
    </row>
    <row r="175" spans="1:13" x14ac:dyDescent="0.35">
      <c r="A175" t="s">
        <v>174</v>
      </c>
      <c r="B175" t="s">
        <v>13</v>
      </c>
      <c r="C175" t="s">
        <v>155</v>
      </c>
      <c r="D175" t="s">
        <v>146</v>
      </c>
      <c r="E175" t="s">
        <v>178</v>
      </c>
      <c r="F175" t="s">
        <v>16</v>
      </c>
      <c r="G175" t="s">
        <v>20</v>
      </c>
      <c r="H175">
        <v>5</v>
      </c>
      <c r="I175">
        <v>0</v>
      </c>
      <c r="J175">
        <v>2</v>
      </c>
      <c r="K175">
        <v>129</v>
      </c>
      <c r="L175">
        <v>128</v>
      </c>
      <c r="M175">
        <v>3.90625E-2</v>
      </c>
    </row>
    <row r="176" spans="1:13" x14ac:dyDescent="0.35">
      <c r="A176" t="s">
        <v>174</v>
      </c>
      <c r="B176" t="s">
        <v>13</v>
      </c>
      <c r="C176" t="s">
        <v>148</v>
      </c>
      <c r="D176" t="s">
        <v>146</v>
      </c>
      <c r="E176" t="s">
        <v>178</v>
      </c>
      <c r="F176" t="s">
        <v>16</v>
      </c>
      <c r="G176" t="s">
        <v>20</v>
      </c>
      <c r="H176">
        <v>5</v>
      </c>
      <c r="I176">
        <v>0</v>
      </c>
      <c r="J176">
        <v>2</v>
      </c>
      <c r="K176">
        <v>260</v>
      </c>
      <c r="L176">
        <v>258</v>
      </c>
      <c r="M176">
        <v>1.937984496124031E-2</v>
      </c>
    </row>
    <row r="177" spans="1:13" x14ac:dyDescent="0.35">
      <c r="A177" t="s">
        <v>174</v>
      </c>
      <c r="B177" t="s">
        <v>13</v>
      </c>
      <c r="C177" t="s">
        <v>154</v>
      </c>
      <c r="D177" t="s">
        <v>146</v>
      </c>
      <c r="E177" t="s">
        <v>178</v>
      </c>
      <c r="F177" t="s">
        <v>16</v>
      </c>
      <c r="G177" t="s">
        <v>20</v>
      </c>
      <c r="H177">
        <v>1</v>
      </c>
      <c r="I177">
        <v>0</v>
      </c>
      <c r="J177">
        <v>0</v>
      </c>
      <c r="K177">
        <v>23</v>
      </c>
      <c r="L177">
        <v>21</v>
      </c>
      <c r="M177">
        <v>4.7619047619047616E-2</v>
      </c>
    </row>
    <row r="178" spans="1:13" x14ac:dyDescent="0.35">
      <c r="A178" t="s">
        <v>174</v>
      </c>
      <c r="B178" t="s">
        <v>13</v>
      </c>
      <c r="C178" t="s">
        <v>153</v>
      </c>
      <c r="D178" t="s">
        <v>146</v>
      </c>
      <c r="E178" t="s">
        <v>178</v>
      </c>
      <c r="F178" t="s">
        <v>16</v>
      </c>
      <c r="G178" t="s">
        <v>20</v>
      </c>
      <c r="H178">
        <v>1</v>
      </c>
      <c r="I178">
        <v>0</v>
      </c>
      <c r="J178">
        <v>0</v>
      </c>
      <c r="K178">
        <v>34</v>
      </c>
      <c r="L178">
        <v>34</v>
      </c>
      <c r="M178">
        <v>2.9411764705882353E-2</v>
      </c>
    </row>
    <row r="179" spans="1:13" x14ac:dyDescent="0.35">
      <c r="A179" t="s">
        <v>174</v>
      </c>
      <c r="B179" t="s">
        <v>13</v>
      </c>
      <c r="C179" t="s">
        <v>152</v>
      </c>
      <c r="D179" t="s">
        <v>146</v>
      </c>
      <c r="E179" t="s">
        <v>178</v>
      </c>
      <c r="F179" t="s">
        <v>16</v>
      </c>
      <c r="G179" t="s">
        <v>20</v>
      </c>
      <c r="H179">
        <v>9</v>
      </c>
      <c r="I179">
        <v>0</v>
      </c>
      <c r="J179">
        <v>5</v>
      </c>
      <c r="K179">
        <v>31</v>
      </c>
      <c r="L179">
        <v>28</v>
      </c>
      <c r="M179">
        <v>0.32142857142857145</v>
      </c>
    </row>
    <row r="180" spans="1:13" x14ac:dyDescent="0.35">
      <c r="A180" t="s">
        <v>174</v>
      </c>
      <c r="B180" t="s">
        <v>13</v>
      </c>
      <c r="C180" t="s">
        <v>151</v>
      </c>
      <c r="D180" t="s">
        <v>146</v>
      </c>
      <c r="E180" t="s">
        <v>178</v>
      </c>
      <c r="F180" t="s">
        <v>16</v>
      </c>
      <c r="G180" t="s">
        <v>20</v>
      </c>
      <c r="H180">
        <v>3</v>
      </c>
      <c r="I180">
        <v>0</v>
      </c>
      <c r="J180">
        <v>1</v>
      </c>
      <c r="K180">
        <v>41</v>
      </c>
      <c r="L180">
        <v>39</v>
      </c>
      <c r="M180">
        <v>7.6923076923076927E-2</v>
      </c>
    </row>
    <row r="181" spans="1:13" x14ac:dyDescent="0.35">
      <c r="A181" t="s">
        <v>174</v>
      </c>
      <c r="B181" t="s">
        <v>13</v>
      </c>
      <c r="C181" t="s">
        <v>150</v>
      </c>
      <c r="D181" t="s">
        <v>146</v>
      </c>
      <c r="E181" t="s">
        <v>178</v>
      </c>
      <c r="F181" t="s">
        <v>16</v>
      </c>
      <c r="G181" t="s">
        <v>20</v>
      </c>
      <c r="H181">
        <v>0</v>
      </c>
      <c r="I181">
        <v>0</v>
      </c>
      <c r="J181">
        <v>0</v>
      </c>
      <c r="K181">
        <v>107</v>
      </c>
      <c r="L181">
        <v>104</v>
      </c>
      <c r="M181">
        <v>0</v>
      </c>
    </row>
    <row r="182" spans="1:13" x14ac:dyDescent="0.35">
      <c r="A182" t="s">
        <v>174</v>
      </c>
      <c r="B182" t="s">
        <v>13</v>
      </c>
      <c r="C182" t="s">
        <v>149</v>
      </c>
      <c r="D182" t="s">
        <v>146</v>
      </c>
      <c r="E182" t="s">
        <v>178</v>
      </c>
      <c r="F182" t="s">
        <v>16</v>
      </c>
      <c r="G182" t="s">
        <v>20</v>
      </c>
      <c r="H182">
        <v>1</v>
      </c>
      <c r="I182">
        <v>0</v>
      </c>
      <c r="J182">
        <v>0</v>
      </c>
      <c r="K182">
        <v>236</v>
      </c>
      <c r="L182">
        <v>230</v>
      </c>
      <c r="M182">
        <v>4.3478260869565218E-3</v>
      </c>
    </row>
    <row r="183" spans="1:13" x14ac:dyDescent="0.35">
      <c r="A183" t="s">
        <v>174</v>
      </c>
      <c r="B183" t="s">
        <v>13</v>
      </c>
      <c r="C183" t="s">
        <v>158</v>
      </c>
      <c r="D183" t="s">
        <v>146</v>
      </c>
      <c r="E183" t="s">
        <v>179</v>
      </c>
      <c r="F183" t="s">
        <v>16</v>
      </c>
      <c r="G183" t="s">
        <v>17</v>
      </c>
      <c r="H183">
        <v>12</v>
      </c>
      <c r="I183">
        <v>0</v>
      </c>
      <c r="J183">
        <v>4</v>
      </c>
      <c r="K183">
        <v>1046</v>
      </c>
      <c r="L183">
        <v>1026</v>
      </c>
      <c r="M183">
        <v>1.1695906432748537E-2</v>
      </c>
    </row>
    <row r="184" spans="1:13" x14ac:dyDescent="0.35">
      <c r="A184" t="s">
        <v>174</v>
      </c>
      <c r="B184" t="s">
        <v>13</v>
      </c>
      <c r="C184" t="s">
        <v>157</v>
      </c>
      <c r="D184" t="s">
        <v>146</v>
      </c>
      <c r="E184" t="s">
        <v>179</v>
      </c>
      <c r="F184" t="s">
        <v>16</v>
      </c>
      <c r="G184" t="s">
        <v>17</v>
      </c>
      <c r="H184">
        <v>3</v>
      </c>
      <c r="I184">
        <v>0</v>
      </c>
      <c r="J184">
        <v>0</v>
      </c>
      <c r="K184">
        <v>566</v>
      </c>
      <c r="L184">
        <v>550</v>
      </c>
      <c r="M184">
        <v>5.454545454545455E-3</v>
      </c>
    </row>
    <row r="185" spans="1:13" x14ac:dyDescent="0.35">
      <c r="A185" t="s">
        <v>174</v>
      </c>
      <c r="B185" t="s">
        <v>13</v>
      </c>
      <c r="C185" t="s">
        <v>156</v>
      </c>
      <c r="D185" t="s">
        <v>146</v>
      </c>
      <c r="E185" t="s">
        <v>179</v>
      </c>
      <c r="F185" t="s">
        <v>16</v>
      </c>
      <c r="G185" t="s">
        <v>17</v>
      </c>
      <c r="H185">
        <v>4</v>
      </c>
      <c r="I185">
        <v>0</v>
      </c>
      <c r="J185">
        <v>2</v>
      </c>
      <c r="K185">
        <v>52</v>
      </c>
      <c r="L185">
        <v>50</v>
      </c>
      <c r="M185">
        <v>0.08</v>
      </c>
    </row>
    <row r="186" spans="1:13" x14ac:dyDescent="0.35">
      <c r="A186" t="s">
        <v>174</v>
      </c>
      <c r="B186" t="s">
        <v>13</v>
      </c>
      <c r="C186" t="s">
        <v>155</v>
      </c>
      <c r="D186" t="s">
        <v>146</v>
      </c>
      <c r="E186" t="s">
        <v>179</v>
      </c>
      <c r="F186" t="s">
        <v>16</v>
      </c>
      <c r="G186" t="s">
        <v>17</v>
      </c>
      <c r="H186">
        <v>0</v>
      </c>
      <c r="I186">
        <v>0</v>
      </c>
      <c r="J186">
        <v>0</v>
      </c>
      <c r="K186">
        <v>95</v>
      </c>
      <c r="L186">
        <v>95</v>
      </c>
      <c r="M186">
        <v>0</v>
      </c>
    </row>
    <row r="187" spans="1:13" x14ac:dyDescent="0.35">
      <c r="A187" t="s">
        <v>174</v>
      </c>
      <c r="B187" t="s">
        <v>13</v>
      </c>
      <c r="C187" t="s">
        <v>148</v>
      </c>
      <c r="D187" t="s">
        <v>146</v>
      </c>
      <c r="E187" t="s">
        <v>179</v>
      </c>
      <c r="F187" t="s">
        <v>16</v>
      </c>
      <c r="G187" t="s">
        <v>17</v>
      </c>
      <c r="H187">
        <v>6</v>
      </c>
      <c r="I187">
        <v>0</v>
      </c>
      <c r="J187">
        <v>3</v>
      </c>
      <c r="K187">
        <v>228</v>
      </c>
      <c r="L187">
        <v>221</v>
      </c>
      <c r="M187">
        <v>2.7149321266968326E-2</v>
      </c>
    </row>
    <row r="188" spans="1:13" x14ac:dyDescent="0.35">
      <c r="A188" t="s">
        <v>174</v>
      </c>
      <c r="B188" t="s">
        <v>13</v>
      </c>
      <c r="C188" t="s">
        <v>154</v>
      </c>
      <c r="D188" t="s">
        <v>146</v>
      </c>
      <c r="E188" t="s">
        <v>179</v>
      </c>
      <c r="F188" t="s">
        <v>16</v>
      </c>
      <c r="G188" t="s">
        <v>17</v>
      </c>
      <c r="H188">
        <v>0</v>
      </c>
      <c r="I188">
        <v>0</v>
      </c>
      <c r="J188">
        <v>0</v>
      </c>
      <c r="K188">
        <v>18</v>
      </c>
      <c r="L188">
        <v>17</v>
      </c>
      <c r="M188">
        <v>0</v>
      </c>
    </row>
    <row r="189" spans="1:13" x14ac:dyDescent="0.35">
      <c r="A189" t="s">
        <v>174</v>
      </c>
      <c r="B189" t="s">
        <v>13</v>
      </c>
      <c r="C189" t="s">
        <v>153</v>
      </c>
      <c r="D189" t="s">
        <v>146</v>
      </c>
      <c r="E189" t="s">
        <v>179</v>
      </c>
      <c r="F189" t="s">
        <v>16</v>
      </c>
      <c r="G189" t="s">
        <v>17</v>
      </c>
      <c r="H189">
        <v>1</v>
      </c>
      <c r="I189">
        <v>0</v>
      </c>
      <c r="J189">
        <v>0</v>
      </c>
      <c r="K189">
        <v>18</v>
      </c>
      <c r="L189">
        <v>18</v>
      </c>
      <c r="M189">
        <v>5.5555555555555552E-2</v>
      </c>
    </row>
    <row r="190" spans="1:13" x14ac:dyDescent="0.35">
      <c r="A190" t="s">
        <v>174</v>
      </c>
      <c r="B190" t="s">
        <v>13</v>
      </c>
      <c r="C190" t="s">
        <v>152</v>
      </c>
      <c r="D190" t="s">
        <v>146</v>
      </c>
      <c r="E190" t="s">
        <v>179</v>
      </c>
      <c r="F190" t="s">
        <v>16</v>
      </c>
      <c r="G190" t="s">
        <v>17</v>
      </c>
      <c r="H190">
        <v>6</v>
      </c>
      <c r="I190">
        <v>0</v>
      </c>
      <c r="J190">
        <v>4</v>
      </c>
      <c r="K190">
        <v>23</v>
      </c>
      <c r="L190">
        <v>20</v>
      </c>
      <c r="M190">
        <v>0.3</v>
      </c>
    </row>
    <row r="191" spans="1:13" x14ac:dyDescent="0.35">
      <c r="A191" t="s">
        <v>174</v>
      </c>
      <c r="B191" t="s">
        <v>13</v>
      </c>
      <c r="C191" t="s">
        <v>151</v>
      </c>
      <c r="D191" t="s">
        <v>146</v>
      </c>
      <c r="E191" t="s">
        <v>179</v>
      </c>
      <c r="F191" t="s">
        <v>16</v>
      </c>
      <c r="G191" t="s">
        <v>17</v>
      </c>
      <c r="H191">
        <v>1</v>
      </c>
      <c r="I191">
        <v>0</v>
      </c>
      <c r="J191">
        <v>0</v>
      </c>
      <c r="K191">
        <v>52</v>
      </c>
      <c r="L191">
        <v>50</v>
      </c>
      <c r="M191">
        <v>0.02</v>
      </c>
    </row>
    <row r="192" spans="1:13" x14ac:dyDescent="0.35">
      <c r="A192" t="s">
        <v>174</v>
      </c>
      <c r="B192" t="s">
        <v>13</v>
      </c>
      <c r="C192" t="s">
        <v>150</v>
      </c>
      <c r="D192" t="s">
        <v>146</v>
      </c>
      <c r="E192" t="s">
        <v>179</v>
      </c>
      <c r="F192" t="s">
        <v>16</v>
      </c>
      <c r="G192" t="s">
        <v>17</v>
      </c>
      <c r="H192">
        <v>0</v>
      </c>
      <c r="I192">
        <v>0</v>
      </c>
      <c r="J192">
        <v>0</v>
      </c>
      <c r="K192">
        <v>79</v>
      </c>
      <c r="L192">
        <v>77</v>
      </c>
      <c r="M192">
        <v>0</v>
      </c>
    </row>
    <row r="193" spans="1:13" x14ac:dyDescent="0.35">
      <c r="A193" t="s">
        <v>174</v>
      </c>
      <c r="B193" t="s">
        <v>13</v>
      </c>
      <c r="C193" t="s">
        <v>149</v>
      </c>
      <c r="D193" t="s">
        <v>146</v>
      </c>
      <c r="E193" t="s">
        <v>179</v>
      </c>
      <c r="F193" t="s">
        <v>16</v>
      </c>
      <c r="G193" t="s">
        <v>17</v>
      </c>
      <c r="H193">
        <v>1</v>
      </c>
      <c r="I193">
        <v>0</v>
      </c>
      <c r="J193">
        <v>0</v>
      </c>
      <c r="K193">
        <v>187</v>
      </c>
      <c r="L193">
        <v>184</v>
      </c>
      <c r="M193">
        <v>5.434782608695652E-3</v>
      </c>
    </row>
    <row r="194" spans="1:13" x14ac:dyDescent="0.35">
      <c r="A194" t="s">
        <v>174</v>
      </c>
      <c r="B194" t="s">
        <v>13</v>
      </c>
      <c r="C194" t="s">
        <v>145</v>
      </c>
      <c r="D194" t="s">
        <v>162</v>
      </c>
      <c r="E194" t="s">
        <v>179</v>
      </c>
      <c r="F194" t="s">
        <v>28</v>
      </c>
      <c r="G194" t="s">
        <v>29</v>
      </c>
      <c r="H194">
        <v>2</v>
      </c>
      <c r="I194">
        <v>0</v>
      </c>
      <c r="J194">
        <v>0</v>
      </c>
      <c r="K194">
        <v>16</v>
      </c>
      <c r="L194">
        <v>14</v>
      </c>
      <c r="M194">
        <v>0.14285714285714285</v>
      </c>
    </row>
    <row r="195" spans="1:13" x14ac:dyDescent="0.35">
      <c r="A195" t="s">
        <v>174</v>
      </c>
      <c r="B195" t="s">
        <v>13</v>
      </c>
      <c r="C195" t="s">
        <v>157</v>
      </c>
      <c r="D195" t="s">
        <v>146</v>
      </c>
      <c r="E195" t="s">
        <v>180</v>
      </c>
      <c r="F195" t="s">
        <v>21</v>
      </c>
      <c r="G195" t="s">
        <v>181</v>
      </c>
      <c r="H195">
        <v>3169</v>
      </c>
      <c r="I195">
        <v>0</v>
      </c>
      <c r="J195">
        <v>6</v>
      </c>
      <c r="K195">
        <v>144240</v>
      </c>
      <c r="L195">
        <v>65394</v>
      </c>
      <c r="M195">
        <v>4.8460103373398171E-2</v>
      </c>
    </row>
    <row r="196" spans="1:13" x14ac:dyDescent="0.35">
      <c r="A196" t="s">
        <v>174</v>
      </c>
      <c r="B196" t="s">
        <v>13</v>
      </c>
      <c r="C196" t="s">
        <v>149</v>
      </c>
      <c r="D196" t="s">
        <v>146</v>
      </c>
      <c r="E196" t="s">
        <v>180</v>
      </c>
      <c r="F196" t="s">
        <v>21</v>
      </c>
      <c r="G196" t="s">
        <v>181</v>
      </c>
      <c r="H196">
        <v>4993</v>
      </c>
      <c r="I196">
        <v>0</v>
      </c>
      <c r="J196">
        <v>17</v>
      </c>
      <c r="K196">
        <v>265318</v>
      </c>
      <c r="L196">
        <v>93950</v>
      </c>
      <c r="M196">
        <v>5.3145290047897815E-2</v>
      </c>
    </row>
    <row r="197" spans="1:13" x14ac:dyDescent="0.35">
      <c r="A197" t="s">
        <v>174</v>
      </c>
      <c r="B197" t="s">
        <v>13</v>
      </c>
      <c r="C197" t="s">
        <v>149</v>
      </c>
      <c r="D197" t="s">
        <v>146</v>
      </c>
      <c r="E197" t="s">
        <v>182</v>
      </c>
      <c r="F197" t="s">
        <v>183</v>
      </c>
      <c r="G197" t="s">
        <v>18</v>
      </c>
      <c r="H197">
        <v>2</v>
      </c>
      <c r="I197">
        <v>0</v>
      </c>
      <c r="J197">
        <v>0</v>
      </c>
      <c r="K197">
        <v>264</v>
      </c>
      <c r="L197">
        <v>259</v>
      </c>
      <c r="M197">
        <v>7.7220077220077222E-3</v>
      </c>
    </row>
    <row r="198" spans="1:13" x14ac:dyDescent="0.35">
      <c r="A198" t="s">
        <v>174</v>
      </c>
      <c r="B198" t="s">
        <v>13</v>
      </c>
      <c r="C198" t="s">
        <v>150</v>
      </c>
      <c r="D198" t="s">
        <v>146</v>
      </c>
      <c r="E198" t="s">
        <v>182</v>
      </c>
      <c r="F198" t="s">
        <v>183</v>
      </c>
      <c r="G198" t="s">
        <v>18</v>
      </c>
      <c r="H198">
        <v>0</v>
      </c>
      <c r="I198">
        <v>0</v>
      </c>
      <c r="J198">
        <v>0</v>
      </c>
      <c r="K198">
        <v>96</v>
      </c>
      <c r="L198">
        <v>93</v>
      </c>
      <c r="M198">
        <v>0</v>
      </c>
    </row>
    <row r="199" spans="1:13" x14ac:dyDescent="0.35">
      <c r="A199" t="s">
        <v>174</v>
      </c>
      <c r="B199" t="s">
        <v>13</v>
      </c>
      <c r="C199" t="s">
        <v>156</v>
      </c>
      <c r="D199" t="s">
        <v>146</v>
      </c>
      <c r="E199" t="s">
        <v>182</v>
      </c>
      <c r="F199" t="s">
        <v>183</v>
      </c>
      <c r="G199" t="s">
        <v>18</v>
      </c>
      <c r="H199">
        <v>4</v>
      </c>
      <c r="I199">
        <v>0</v>
      </c>
      <c r="J199">
        <v>3</v>
      </c>
      <c r="K199">
        <v>74</v>
      </c>
      <c r="L199">
        <v>65</v>
      </c>
      <c r="M199">
        <v>6.1538461538461542E-2</v>
      </c>
    </row>
    <row r="200" spans="1:13" x14ac:dyDescent="0.35">
      <c r="A200" t="s">
        <v>174</v>
      </c>
      <c r="B200" t="s">
        <v>13</v>
      </c>
      <c r="C200" t="s">
        <v>148</v>
      </c>
      <c r="D200" t="s">
        <v>146</v>
      </c>
      <c r="E200" t="s">
        <v>182</v>
      </c>
      <c r="F200" t="s">
        <v>183</v>
      </c>
      <c r="G200" t="s">
        <v>18</v>
      </c>
      <c r="H200">
        <v>3</v>
      </c>
      <c r="I200">
        <v>0</v>
      </c>
      <c r="J200">
        <v>1</v>
      </c>
      <c r="K200">
        <v>249</v>
      </c>
      <c r="L200">
        <v>244</v>
      </c>
      <c r="M200">
        <v>1.2295081967213115E-2</v>
      </c>
    </row>
    <row r="201" spans="1:13" x14ac:dyDescent="0.35">
      <c r="A201" t="s">
        <v>174</v>
      </c>
      <c r="B201" t="s">
        <v>13</v>
      </c>
      <c r="C201" t="s">
        <v>151</v>
      </c>
      <c r="D201" t="s">
        <v>146</v>
      </c>
      <c r="E201" t="s">
        <v>182</v>
      </c>
      <c r="F201" t="s">
        <v>183</v>
      </c>
      <c r="G201" t="s">
        <v>18</v>
      </c>
      <c r="H201">
        <v>0</v>
      </c>
      <c r="I201">
        <v>0</v>
      </c>
      <c r="J201">
        <v>0</v>
      </c>
      <c r="K201">
        <v>52</v>
      </c>
      <c r="L201">
        <v>49</v>
      </c>
      <c r="M201">
        <v>0</v>
      </c>
    </row>
    <row r="202" spans="1:13" x14ac:dyDescent="0.35">
      <c r="A202" t="s">
        <v>174</v>
      </c>
      <c r="B202" t="s">
        <v>13</v>
      </c>
      <c r="C202" t="s">
        <v>157</v>
      </c>
      <c r="D202" t="s">
        <v>146</v>
      </c>
      <c r="E202" t="s">
        <v>182</v>
      </c>
      <c r="F202" t="s">
        <v>183</v>
      </c>
      <c r="G202" t="s">
        <v>18</v>
      </c>
      <c r="H202">
        <v>1</v>
      </c>
      <c r="I202">
        <v>0</v>
      </c>
      <c r="J202">
        <v>0</v>
      </c>
      <c r="K202">
        <v>724</v>
      </c>
      <c r="L202">
        <v>689</v>
      </c>
      <c r="M202">
        <v>1.4513788098693759E-3</v>
      </c>
    </row>
    <row r="203" spans="1:13" x14ac:dyDescent="0.35">
      <c r="A203" t="s">
        <v>174</v>
      </c>
      <c r="B203" t="s">
        <v>13</v>
      </c>
      <c r="C203" t="s">
        <v>153</v>
      </c>
      <c r="D203" t="s">
        <v>146</v>
      </c>
      <c r="E203" t="s">
        <v>182</v>
      </c>
      <c r="F203" t="s">
        <v>183</v>
      </c>
      <c r="G203" t="s">
        <v>18</v>
      </c>
      <c r="H203">
        <v>0</v>
      </c>
      <c r="I203">
        <v>0</v>
      </c>
      <c r="J203">
        <v>0</v>
      </c>
      <c r="K203">
        <v>24</v>
      </c>
      <c r="L203">
        <v>24</v>
      </c>
      <c r="M203">
        <v>0</v>
      </c>
    </row>
    <row r="204" spans="1:13" x14ac:dyDescent="0.35">
      <c r="A204" t="s">
        <v>174</v>
      </c>
      <c r="B204" t="s">
        <v>13</v>
      </c>
      <c r="C204" t="s">
        <v>152</v>
      </c>
      <c r="D204" t="s">
        <v>146</v>
      </c>
      <c r="E204" t="s">
        <v>182</v>
      </c>
      <c r="F204" t="s">
        <v>183</v>
      </c>
      <c r="G204" t="s">
        <v>18</v>
      </c>
      <c r="H204">
        <v>7</v>
      </c>
      <c r="I204">
        <v>0</v>
      </c>
      <c r="J204">
        <v>3</v>
      </c>
      <c r="K204">
        <v>42</v>
      </c>
      <c r="L204">
        <v>39</v>
      </c>
      <c r="M204">
        <v>0.17948717948717949</v>
      </c>
    </row>
    <row r="205" spans="1:13" x14ac:dyDescent="0.35">
      <c r="A205" t="s">
        <v>174</v>
      </c>
      <c r="B205" t="s">
        <v>13</v>
      </c>
      <c r="C205" t="s">
        <v>154</v>
      </c>
      <c r="D205" t="s">
        <v>146</v>
      </c>
      <c r="E205" t="s">
        <v>182</v>
      </c>
      <c r="F205" t="s">
        <v>183</v>
      </c>
      <c r="G205" t="s">
        <v>18</v>
      </c>
      <c r="H205">
        <v>0</v>
      </c>
      <c r="I205">
        <v>0</v>
      </c>
      <c r="J205">
        <v>0</v>
      </c>
      <c r="K205">
        <v>25</v>
      </c>
      <c r="L205">
        <v>23</v>
      </c>
      <c r="M205">
        <v>0</v>
      </c>
    </row>
    <row r="206" spans="1:13" x14ac:dyDescent="0.35">
      <c r="A206" t="s">
        <v>174</v>
      </c>
      <c r="B206" t="s">
        <v>13</v>
      </c>
      <c r="C206" t="s">
        <v>155</v>
      </c>
      <c r="D206" t="s">
        <v>146</v>
      </c>
      <c r="E206" t="s">
        <v>182</v>
      </c>
      <c r="F206" t="s">
        <v>183</v>
      </c>
      <c r="G206" t="s">
        <v>18</v>
      </c>
      <c r="H206">
        <v>1</v>
      </c>
      <c r="I206">
        <v>0</v>
      </c>
      <c r="J206">
        <v>0</v>
      </c>
      <c r="K206">
        <v>102</v>
      </c>
      <c r="L206">
        <v>101</v>
      </c>
      <c r="M206">
        <v>9.9009900990099011E-3</v>
      </c>
    </row>
    <row r="207" spans="1:13" x14ac:dyDescent="0.35">
      <c r="A207" t="s">
        <v>174</v>
      </c>
      <c r="B207" t="s">
        <v>13</v>
      </c>
      <c r="C207" t="s">
        <v>158</v>
      </c>
      <c r="D207" t="s">
        <v>146</v>
      </c>
      <c r="E207" t="s">
        <v>182</v>
      </c>
      <c r="F207" t="s">
        <v>183</v>
      </c>
      <c r="G207" t="s">
        <v>18</v>
      </c>
      <c r="H207">
        <v>8</v>
      </c>
      <c r="I207">
        <v>0</v>
      </c>
      <c r="J207">
        <v>1</v>
      </c>
      <c r="K207">
        <v>855</v>
      </c>
      <c r="L207">
        <v>846</v>
      </c>
      <c r="M207">
        <v>9.4562647754137114E-3</v>
      </c>
    </row>
    <row r="208" spans="1:13" x14ac:dyDescent="0.35">
      <c r="A208" t="s">
        <v>174</v>
      </c>
      <c r="B208" t="s">
        <v>36</v>
      </c>
      <c r="C208" t="s">
        <v>150</v>
      </c>
      <c r="D208" t="s">
        <v>146</v>
      </c>
      <c r="E208" t="s">
        <v>179</v>
      </c>
      <c r="F208" t="s">
        <v>16</v>
      </c>
      <c r="G208" t="s">
        <v>17</v>
      </c>
      <c r="H208">
        <v>1</v>
      </c>
      <c r="I208">
        <v>1</v>
      </c>
      <c r="J208">
        <v>0</v>
      </c>
      <c r="K208">
        <v>11</v>
      </c>
      <c r="L208">
        <v>10</v>
      </c>
      <c r="M208">
        <v>0.1</v>
      </c>
    </row>
    <row r="209" spans="1:13" x14ac:dyDescent="0.35">
      <c r="A209" t="s">
        <v>174</v>
      </c>
      <c r="B209" t="s">
        <v>36</v>
      </c>
      <c r="C209" t="s">
        <v>151</v>
      </c>
      <c r="D209" t="s">
        <v>146</v>
      </c>
      <c r="E209" t="s">
        <v>179</v>
      </c>
      <c r="F209" t="s">
        <v>16</v>
      </c>
      <c r="G209" t="s">
        <v>17</v>
      </c>
      <c r="H209">
        <v>1</v>
      </c>
      <c r="I209">
        <v>1</v>
      </c>
      <c r="J209">
        <v>0</v>
      </c>
      <c r="K209">
        <v>14</v>
      </c>
      <c r="L209">
        <v>12</v>
      </c>
      <c r="M209">
        <v>8.3333333333333329E-2</v>
      </c>
    </row>
    <row r="210" spans="1:13" x14ac:dyDescent="0.35">
      <c r="A210" t="s">
        <v>174</v>
      </c>
      <c r="B210" t="s">
        <v>36</v>
      </c>
      <c r="C210" t="s">
        <v>152</v>
      </c>
      <c r="D210" t="s">
        <v>146</v>
      </c>
      <c r="E210" t="s">
        <v>179</v>
      </c>
      <c r="F210" t="s">
        <v>16</v>
      </c>
      <c r="G210" t="s">
        <v>17</v>
      </c>
      <c r="H210">
        <v>17</v>
      </c>
      <c r="I210">
        <v>17</v>
      </c>
      <c r="J210">
        <v>0</v>
      </c>
      <c r="K210">
        <v>81</v>
      </c>
      <c r="L210">
        <v>74</v>
      </c>
      <c r="M210">
        <v>0.22972972972972974</v>
      </c>
    </row>
    <row r="211" spans="1:13" x14ac:dyDescent="0.35">
      <c r="A211" t="s">
        <v>174</v>
      </c>
      <c r="B211" t="s">
        <v>36</v>
      </c>
      <c r="C211" t="s">
        <v>153</v>
      </c>
      <c r="D211" t="s">
        <v>146</v>
      </c>
      <c r="E211" t="s">
        <v>179</v>
      </c>
      <c r="F211" t="s">
        <v>16</v>
      </c>
      <c r="G211" t="s">
        <v>17</v>
      </c>
      <c r="H211">
        <v>1</v>
      </c>
      <c r="I211">
        <v>1</v>
      </c>
      <c r="J211">
        <v>0</v>
      </c>
      <c r="K211">
        <v>4</v>
      </c>
      <c r="L211">
        <v>4</v>
      </c>
      <c r="M211">
        <v>0.25</v>
      </c>
    </row>
    <row r="212" spans="1:13" x14ac:dyDescent="0.35">
      <c r="A212" t="s">
        <v>174</v>
      </c>
      <c r="B212" t="s">
        <v>36</v>
      </c>
      <c r="C212" t="s">
        <v>154</v>
      </c>
      <c r="D212" t="s">
        <v>146</v>
      </c>
      <c r="E212" t="s">
        <v>179</v>
      </c>
      <c r="F212" t="s">
        <v>16</v>
      </c>
      <c r="G212" t="s">
        <v>17</v>
      </c>
      <c r="H212">
        <v>1</v>
      </c>
      <c r="I212">
        <v>1</v>
      </c>
      <c r="J212">
        <v>0</v>
      </c>
      <c r="K212">
        <v>17</v>
      </c>
      <c r="L212">
        <v>16</v>
      </c>
      <c r="M212">
        <v>6.25E-2</v>
      </c>
    </row>
    <row r="213" spans="1:13" x14ac:dyDescent="0.35">
      <c r="A213" t="s">
        <v>174</v>
      </c>
      <c r="B213" t="s">
        <v>36</v>
      </c>
      <c r="C213" t="s">
        <v>148</v>
      </c>
      <c r="D213" t="s">
        <v>146</v>
      </c>
      <c r="E213" t="s">
        <v>179</v>
      </c>
      <c r="F213" t="s">
        <v>16</v>
      </c>
      <c r="G213" t="s">
        <v>17</v>
      </c>
      <c r="H213">
        <v>10</v>
      </c>
      <c r="I213">
        <v>8</v>
      </c>
      <c r="J213">
        <v>0</v>
      </c>
      <c r="K213">
        <v>179</v>
      </c>
      <c r="L213">
        <v>169</v>
      </c>
      <c r="M213">
        <v>5.9171597633136092E-2</v>
      </c>
    </row>
    <row r="214" spans="1:13" x14ac:dyDescent="0.35">
      <c r="A214" t="s">
        <v>174</v>
      </c>
      <c r="B214" t="s">
        <v>36</v>
      </c>
      <c r="C214" t="s">
        <v>155</v>
      </c>
      <c r="D214" t="s">
        <v>146</v>
      </c>
      <c r="E214" t="s">
        <v>179</v>
      </c>
      <c r="F214" t="s">
        <v>16</v>
      </c>
      <c r="G214" t="s">
        <v>17</v>
      </c>
      <c r="H214">
        <v>2</v>
      </c>
      <c r="I214">
        <v>2</v>
      </c>
      <c r="J214">
        <v>0</v>
      </c>
      <c r="K214">
        <v>11</v>
      </c>
      <c r="L214">
        <v>11</v>
      </c>
      <c r="M214">
        <v>0.18181818181818182</v>
      </c>
    </row>
    <row r="215" spans="1:13" x14ac:dyDescent="0.35">
      <c r="A215" t="s">
        <v>174</v>
      </c>
      <c r="B215" t="s">
        <v>36</v>
      </c>
      <c r="C215" t="s">
        <v>156</v>
      </c>
      <c r="D215" t="s">
        <v>146</v>
      </c>
      <c r="E215" t="s">
        <v>179</v>
      </c>
      <c r="F215" t="s">
        <v>16</v>
      </c>
      <c r="G215" t="s">
        <v>17</v>
      </c>
      <c r="H215">
        <v>2</v>
      </c>
      <c r="I215">
        <v>2</v>
      </c>
      <c r="J215">
        <v>0</v>
      </c>
      <c r="K215">
        <v>16</v>
      </c>
      <c r="L215">
        <v>14</v>
      </c>
      <c r="M215">
        <v>0.14285714285714285</v>
      </c>
    </row>
    <row r="216" spans="1:13" x14ac:dyDescent="0.35">
      <c r="A216" t="s">
        <v>174</v>
      </c>
      <c r="B216" t="s">
        <v>36</v>
      </c>
      <c r="C216" t="s">
        <v>157</v>
      </c>
      <c r="D216" t="s">
        <v>146</v>
      </c>
      <c r="E216" t="s">
        <v>179</v>
      </c>
      <c r="F216" t="s">
        <v>16</v>
      </c>
      <c r="G216" t="s">
        <v>17</v>
      </c>
      <c r="H216">
        <v>1</v>
      </c>
      <c r="I216">
        <v>1</v>
      </c>
      <c r="J216">
        <v>0</v>
      </c>
      <c r="K216">
        <v>22</v>
      </c>
      <c r="L216">
        <v>21</v>
      </c>
      <c r="M216">
        <v>4.7619047619047616E-2</v>
      </c>
    </row>
    <row r="217" spans="1:13" x14ac:dyDescent="0.35">
      <c r="A217" t="s">
        <v>174</v>
      </c>
      <c r="B217" t="s">
        <v>36</v>
      </c>
      <c r="C217" t="s">
        <v>158</v>
      </c>
      <c r="D217" t="s">
        <v>146</v>
      </c>
      <c r="E217" t="s">
        <v>179</v>
      </c>
      <c r="F217" t="s">
        <v>16</v>
      </c>
      <c r="G217" t="s">
        <v>17</v>
      </c>
      <c r="H217">
        <v>3</v>
      </c>
      <c r="I217">
        <v>3</v>
      </c>
      <c r="J217">
        <v>0</v>
      </c>
      <c r="K217">
        <v>37</v>
      </c>
      <c r="L217">
        <v>37</v>
      </c>
      <c r="M217">
        <v>8.1081081081081086E-2</v>
      </c>
    </row>
    <row r="218" spans="1:13" x14ac:dyDescent="0.35">
      <c r="A218" t="s">
        <v>174</v>
      </c>
      <c r="B218" t="s">
        <v>36</v>
      </c>
      <c r="C218" t="s">
        <v>145</v>
      </c>
      <c r="D218" t="s">
        <v>162</v>
      </c>
      <c r="E218" t="s">
        <v>184</v>
      </c>
      <c r="F218" t="s">
        <v>28</v>
      </c>
      <c r="G218" t="s">
        <v>29</v>
      </c>
      <c r="H218">
        <v>5</v>
      </c>
      <c r="I218">
        <v>5</v>
      </c>
      <c r="J218">
        <v>0</v>
      </c>
      <c r="K218">
        <v>28</v>
      </c>
      <c r="L218">
        <v>23</v>
      </c>
      <c r="M218">
        <v>0.21739130434782608</v>
      </c>
    </row>
    <row r="219" spans="1:13" x14ac:dyDescent="0.35">
      <c r="A219" t="s">
        <v>174</v>
      </c>
      <c r="B219" t="s">
        <v>36</v>
      </c>
      <c r="C219" t="s">
        <v>150</v>
      </c>
      <c r="D219" t="s">
        <v>146</v>
      </c>
      <c r="E219" t="s">
        <v>178</v>
      </c>
      <c r="F219" t="s">
        <v>16</v>
      </c>
      <c r="G219" t="s">
        <v>20</v>
      </c>
      <c r="H219">
        <v>2</v>
      </c>
      <c r="I219">
        <v>1</v>
      </c>
      <c r="J219">
        <v>0</v>
      </c>
      <c r="K219">
        <v>12</v>
      </c>
      <c r="L219">
        <v>12</v>
      </c>
      <c r="M219">
        <v>0.16666666666666666</v>
      </c>
    </row>
    <row r="220" spans="1:13" x14ac:dyDescent="0.35">
      <c r="A220" t="s">
        <v>174</v>
      </c>
      <c r="B220" t="s">
        <v>36</v>
      </c>
      <c r="C220" t="s">
        <v>151</v>
      </c>
      <c r="D220" t="s">
        <v>146</v>
      </c>
      <c r="E220" t="s">
        <v>178</v>
      </c>
      <c r="F220" t="s">
        <v>16</v>
      </c>
      <c r="G220" t="s">
        <v>20</v>
      </c>
      <c r="H220">
        <v>0</v>
      </c>
      <c r="I220">
        <v>0</v>
      </c>
      <c r="J220">
        <v>0</v>
      </c>
      <c r="K220">
        <v>16</v>
      </c>
      <c r="L220">
        <v>12</v>
      </c>
      <c r="M220">
        <v>0</v>
      </c>
    </row>
    <row r="221" spans="1:13" x14ac:dyDescent="0.35">
      <c r="A221" t="s">
        <v>174</v>
      </c>
      <c r="B221" t="s">
        <v>36</v>
      </c>
      <c r="C221" t="s">
        <v>152</v>
      </c>
      <c r="D221" t="s">
        <v>146</v>
      </c>
      <c r="E221" t="s">
        <v>178</v>
      </c>
      <c r="F221" t="s">
        <v>16</v>
      </c>
      <c r="G221" t="s">
        <v>20</v>
      </c>
      <c r="H221">
        <v>10</v>
      </c>
      <c r="I221">
        <v>10</v>
      </c>
      <c r="J221">
        <v>0</v>
      </c>
      <c r="K221">
        <v>82</v>
      </c>
      <c r="L221">
        <v>59</v>
      </c>
      <c r="M221">
        <v>0.16949152542372881</v>
      </c>
    </row>
    <row r="222" spans="1:13" x14ac:dyDescent="0.35">
      <c r="A222" t="s">
        <v>174</v>
      </c>
      <c r="B222" t="s">
        <v>36</v>
      </c>
      <c r="C222" t="s">
        <v>153</v>
      </c>
      <c r="D222" t="s">
        <v>146</v>
      </c>
      <c r="E222" t="s">
        <v>178</v>
      </c>
      <c r="F222" t="s">
        <v>16</v>
      </c>
      <c r="G222" t="s">
        <v>20</v>
      </c>
      <c r="H222">
        <v>0</v>
      </c>
      <c r="I222">
        <v>0</v>
      </c>
      <c r="J222">
        <v>0</v>
      </c>
      <c r="K222">
        <v>7</v>
      </c>
      <c r="L222">
        <v>5</v>
      </c>
      <c r="M222">
        <v>0</v>
      </c>
    </row>
    <row r="223" spans="1:13" x14ac:dyDescent="0.35">
      <c r="A223" t="s">
        <v>174</v>
      </c>
      <c r="B223" t="s">
        <v>36</v>
      </c>
      <c r="C223" t="s">
        <v>154</v>
      </c>
      <c r="D223" t="s">
        <v>146</v>
      </c>
      <c r="E223" t="s">
        <v>178</v>
      </c>
      <c r="F223" t="s">
        <v>16</v>
      </c>
      <c r="G223" t="s">
        <v>20</v>
      </c>
      <c r="H223">
        <v>0</v>
      </c>
      <c r="I223">
        <v>0</v>
      </c>
      <c r="J223">
        <v>0</v>
      </c>
      <c r="K223">
        <v>17</v>
      </c>
      <c r="L223">
        <v>14</v>
      </c>
      <c r="M223">
        <v>0</v>
      </c>
    </row>
    <row r="224" spans="1:13" x14ac:dyDescent="0.35">
      <c r="A224" t="s">
        <v>174</v>
      </c>
      <c r="B224" t="s">
        <v>36</v>
      </c>
      <c r="C224" t="s">
        <v>148</v>
      </c>
      <c r="D224" t="s">
        <v>146</v>
      </c>
      <c r="E224" t="s">
        <v>178</v>
      </c>
      <c r="F224" t="s">
        <v>16</v>
      </c>
      <c r="G224" t="s">
        <v>20</v>
      </c>
      <c r="H224">
        <v>7</v>
      </c>
      <c r="I224">
        <v>7</v>
      </c>
      <c r="J224">
        <v>0</v>
      </c>
      <c r="K224">
        <v>158</v>
      </c>
      <c r="L224">
        <v>123</v>
      </c>
      <c r="M224">
        <v>5.6910569105691054E-2</v>
      </c>
    </row>
    <row r="225" spans="1:13" x14ac:dyDescent="0.35">
      <c r="A225" t="s">
        <v>174</v>
      </c>
      <c r="B225" t="s">
        <v>36</v>
      </c>
      <c r="C225" t="s">
        <v>155</v>
      </c>
      <c r="D225" t="s">
        <v>146</v>
      </c>
      <c r="E225" t="s">
        <v>178</v>
      </c>
      <c r="F225" t="s">
        <v>16</v>
      </c>
      <c r="G225" t="s">
        <v>20</v>
      </c>
      <c r="H225">
        <v>1</v>
      </c>
      <c r="I225">
        <v>1</v>
      </c>
      <c r="J225">
        <v>0</v>
      </c>
      <c r="K225">
        <v>15</v>
      </c>
      <c r="L225">
        <v>11</v>
      </c>
      <c r="M225">
        <v>9.0909090909090912E-2</v>
      </c>
    </row>
    <row r="226" spans="1:13" x14ac:dyDescent="0.35">
      <c r="A226" t="s">
        <v>174</v>
      </c>
      <c r="B226" t="s">
        <v>36</v>
      </c>
      <c r="C226" t="s">
        <v>156</v>
      </c>
      <c r="D226" t="s">
        <v>146</v>
      </c>
      <c r="E226" t="s">
        <v>178</v>
      </c>
      <c r="F226" t="s">
        <v>16</v>
      </c>
      <c r="G226" t="s">
        <v>20</v>
      </c>
      <c r="H226">
        <v>1</v>
      </c>
      <c r="I226">
        <v>1</v>
      </c>
      <c r="J226">
        <v>0</v>
      </c>
      <c r="K226">
        <v>13</v>
      </c>
      <c r="L226">
        <v>11</v>
      </c>
      <c r="M226">
        <v>9.0909090909090912E-2</v>
      </c>
    </row>
    <row r="227" spans="1:13" x14ac:dyDescent="0.35">
      <c r="A227" t="s">
        <v>174</v>
      </c>
      <c r="B227" t="s">
        <v>36</v>
      </c>
      <c r="C227" t="s">
        <v>157</v>
      </c>
      <c r="D227" t="s">
        <v>146</v>
      </c>
      <c r="E227" t="s">
        <v>178</v>
      </c>
      <c r="F227" t="s">
        <v>16</v>
      </c>
      <c r="G227" t="s">
        <v>20</v>
      </c>
      <c r="H227">
        <v>0</v>
      </c>
      <c r="I227">
        <v>0</v>
      </c>
      <c r="J227">
        <v>0</v>
      </c>
      <c r="K227">
        <v>16</v>
      </c>
      <c r="L227">
        <v>15</v>
      </c>
      <c r="M227">
        <v>0</v>
      </c>
    </row>
    <row r="228" spans="1:13" x14ac:dyDescent="0.35">
      <c r="A228" t="s">
        <v>174</v>
      </c>
      <c r="B228" t="s">
        <v>36</v>
      </c>
      <c r="C228" t="s">
        <v>158</v>
      </c>
      <c r="D228" t="s">
        <v>146</v>
      </c>
      <c r="E228" t="s">
        <v>178</v>
      </c>
      <c r="F228" t="s">
        <v>16</v>
      </c>
      <c r="G228" t="s">
        <v>20</v>
      </c>
      <c r="H228">
        <v>2</v>
      </c>
      <c r="I228">
        <v>1</v>
      </c>
      <c r="J228">
        <v>0</v>
      </c>
      <c r="K228">
        <v>65</v>
      </c>
      <c r="L228">
        <v>52</v>
      </c>
      <c r="M228">
        <v>3.8461538461538464E-2</v>
      </c>
    </row>
    <row r="229" spans="1:13" x14ac:dyDescent="0.35">
      <c r="A229" t="s">
        <v>174</v>
      </c>
      <c r="B229" t="s">
        <v>36</v>
      </c>
      <c r="C229" t="s">
        <v>145</v>
      </c>
      <c r="D229" t="s">
        <v>146</v>
      </c>
      <c r="E229" t="s">
        <v>178</v>
      </c>
      <c r="F229" t="s">
        <v>28</v>
      </c>
      <c r="G229" t="s">
        <v>29</v>
      </c>
      <c r="H229">
        <v>3</v>
      </c>
      <c r="I229">
        <v>3</v>
      </c>
      <c r="J229">
        <v>0</v>
      </c>
      <c r="K229">
        <v>32</v>
      </c>
      <c r="L229">
        <v>25</v>
      </c>
      <c r="M229">
        <v>0.12</v>
      </c>
    </row>
    <row r="230" spans="1:13" x14ac:dyDescent="0.35">
      <c r="A230" t="s">
        <v>174</v>
      </c>
      <c r="B230" t="s">
        <v>36</v>
      </c>
      <c r="C230" t="s">
        <v>145</v>
      </c>
      <c r="D230" t="s">
        <v>162</v>
      </c>
      <c r="E230" t="s">
        <v>177</v>
      </c>
      <c r="F230" t="s">
        <v>28</v>
      </c>
      <c r="G230" t="s">
        <v>29</v>
      </c>
      <c r="H230">
        <v>6</v>
      </c>
      <c r="I230">
        <v>6</v>
      </c>
      <c r="J230">
        <v>0</v>
      </c>
      <c r="K230">
        <v>41</v>
      </c>
      <c r="L230">
        <v>31</v>
      </c>
      <c r="M230">
        <v>0.19354838709677419</v>
      </c>
    </row>
    <row r="231" spans="1:13" x14ac:dyDescent="0.35">
      <c r="A231" t="s">
        <v>174</v>
      </c>
      <c r="B231" t="s">
        <v>36</v>
      </c>
      <c r="C231" t="s">
        <v>148</v>
      </c>
      <c r="D231" t="s">
        <v>146</v>
      </c>
      <c r="E231" t="s">
        <v>177</v>
      </c>
      <c r="F231" t="s">
        <v>19</v>
      </c>
      <c r="G231" t="s">
        <v>18</v>
      </c>
      <c r="H231">
        <v>18</v>
      </c>
      <c r="I231">
        <v>17</v>
      </c>
      <c r="J231">
        <v>1</v>
      </c>
      <c r="K231">
        <v>204</v>
      </c>
      <c r="L231">
        <v>189</v>
      </c>
      <c r="M231">
        <v>9.5238095238095233E-2</v>
      </c>
    </row>
    <row r="232" spans="1:13" x14ac:dyDescent="0.35">
      <c r="A232" t="s">
        <v>174</v>
      </c>
      <c r="B232" t="s">
        <v>36</v>
      </c>
      <c r="C232" t="s">
        <v>154</v>
      </c>
      <c r="D232" t="s">
        <v>146</v>
      </c>
      <c r="E232" t="s">
        <v>177</v>
      </c>
      <c r="F232" t="s">
        <v>19</v>
      </c>
      <c r="G232" t="s">
        <v>18</v>
      </c>
      <c r="H232">
        <v>0</v>
      </c>
      <c r="I232">
        <v>0</v>
      </c>
      <c r="J232">
        <v>0</v>
      </c>
      <c r="K232">
        <v>10</v>
      </c>
      <c r="L232">
        <v>10</v>
      </c>
      <c r="M232">
        <v>0</v>
      </c>
    </row>
    <row r="233" spans="1:13" x14ac:dyDescent="0.35">
      <c r="A233" t="s">
        <v>174</v>
      </c>
      <c r="B233" t="s">
        <v>36</v>
      </c>
      <c r="C233" t="s">
        <v>156</v>
      </c>
      <c r="D233" t="s">
        <v>146</v>
      </c>
      <c r="E233" t="s">
        <v>177</v>
      </c>
      <c r="F233" t="s">
        <v>19</v>
      </c>
      <c r="G233" t="s">
        <v>18</v>
      </c>
      <c r="H233">
        <v>1</v>
      </c>
      <c r="I233">
        <v>1</v>
      </c>
      <c r="J233">
        <v>0</v>
      </c>
      <c r="K233">
        <v>12</v>
      </c>
      <c r="L233">
        <v>11</v>
      </c>
      <c r="M233">
        <v>9.0909090909090912E-2</v>
      </c>
    </row>
    <row r="234" spans="1:13" x14ac:dyDescent="0.35">
      <c r="A234" t="s">
        <v>174</v>
      </c>
      <c r="B234" t="s">
        <v>36</v>
      </c>
      <c r="C234" t="s">
        <v>153</v>
      </c>
      <c r="D234" t="s">
        <v>146</v>
      </c>
      <c r="E234" t="s">
        <v>177</v>
      </c>
      <c r="F234" t="s">
        <v>19</v>
      </c>
      <c r="G234" t="s">
        <v>18</v>
      </c>
      <c r="H234">
        <v>0</v>
      </c>
      <c r="I234">
        <v>0</v>
      </c>
      <c r="J234">
        <v>0</v>
      </c>
      <c r="K234">
        <v>5</v>
      </c>
      <c r="L234">
        <v>5</v>
      </c>
      <c r="M234">
        <v>0</v>
      </c>
    </row>
    <row r="235" spans="1:13" x14ac:dyDescent="0.35">
      <c r="A235" t="s">
        <v>174</v>
      </c>
      <c r="B235" t="s">
        <v>36</v>
      </c>
      <c r="C235" t="s">
        <v>158</v>
      </c>
      <c r="D235" t="s">
        <v>146</v>
      </c>
      <c r="E235" t="s">
        <v>177</v>
      </c>
      <c r="F235" t="s">
        <v>19</v>
      </c>
      <c r="G235" t="s">
        <v>18</v>
      </c>
      <c r="H235">
        <v>1</v>
      </c>
      <c r="I235">
        <v>1</v>
      </c>
      <c r="J235">
        <v>0</v>
      </c>
      <c r="K235">
        <v>37</v>
      </c>
      <c r="L235">
        <v>31</v>
      </c>
      <c r="M235">
        <v>3.2258064516129031E-2</v>
      </c>
    </row>
    <row r="236" spans="1:13" x14ac:dyDescent="0.35">
      <c r="A236" t="s">
        <v>174</v>
      </c>
      <c r="B236" t="s">
        <v>36</v>
      </c>
      <c r="C236" t="s">
        <v>152</v>
      </c>
      <c r="D236" t="s">
        <v>146</v>
      </c>
      <c r="E236" t="s">
        <v>177</v>
      </c>
      <c r="F236" t="s">
        <v>19</v>
      </c>
      <c r="G236" t="s">
        <v>18</v>
      </c>
      <c r="H236">
        <v>9</v>
      </c>
      <c r="I236">
        <v>9</v>
      </c>
      <c r="J236">
        <v>0</v>
      </c>
      <c r="K236">
        <v>75</v>
      </c>
      <c r="L236">
        <v>62</v>
      </c>
      <c r="M236">
        <v>0.14516129032258066</v>
      </c>
    </row>
    <row r="237" spans="1:13" x14ac:dyDescent="0.35">
      <c r="A237" t="s">
        <v>174</v>
      </c>
      <c r="B237" t="s">
        <v>36</v>
      </c>
      <c r="C237" t="s">
        <v>157</v>
      </c>
      <c r="D237" t="s">
        <v>146</v>
      </c>
      <c r="E237" t="s">
        <v>177</v>
      </c>
      <c r="F237" t="s">
        <v>19</v>
      </c>
      <c r="G237" t="s">
        <v>18</v>
      </c>
      <c r="H237">
        <v>1</v>
      </c>
      <c r="I237">
        <v>1</v>
      </c>
      <c r="J237">
        <v>0</v>
      </c>
      <c r="K237">
        <v>14</v>
      </c>
      <c r="L237">
        <v>14</v>
      </c>
      <c r="M237">
        <v>7.1428571428571425E-2</v>
      </c>
    </row>
    <row r="238" spans="1:13" x14ac:dyDescent="0.35">
      <c r="A238" t="s">
        <v>174</v>
      </c>
      <c r="B238" t="s">
        <v>36</v>
      </c>
      <c r="C238" t="s">
        <v>151</v>
      </c>
      <c r="D238" t="s">
        <v>146</v>
      </c>
      <c r="E238" t="s">
        <v>177</v>
      </c>
      <c r="F238" t="s">
        <v>19</v>
      </c>
      <c r="G238" t="s">
        <v>18</v>
      </c>
      <c r="H238">
        <v>0</v>
      </c>
      <c r="I238">
        <v>0</v>
      </c>
      <c r="J238">
        <v>0</v>
      </c>
      <c r="K238">
        <v>9</v>
      </c>
      <c r="L238">
        <v>9</v>
      </c>
      <c r="M238">
        <v>0</v>
      </c>
    </row>
    <row r="239" spans="1:13" x14ac:dyDescent="0.35">
      <c r="A239" t="s">
        <v>174</v>
      </c>
      <c r="B239" t="s">
        <v>36</v>
      </c>
      <c r="C239" t="s">
        <v>150</v>
      </c>
      <c r="D239" t="s">
        <v>146</v>
      </c>
      <c r="E239" t="s">
        <v>177</v>
      </c>
      <c r="F239" t="s">
        <v>19</v>
      </c>
      <c r="G239" t="s">
        <v>18</v>
      </c>
      <c r="H239">
        <v>3</v>
      </c>
      <c r="I239">
        <v>3</v>
      </c>
      <c r="J239">
        <v>0</v>
      </c>
      <c r="K239">
        <v>12</v>
      </c>
      <c r="L239">
        <v>12</v>
      </c>
      <c r="M239">
        <v>0.25</v>
      </c>
    </row>
    <row r="240" spans="1:13" x14ac:dyDescent="0.35">
      <c r="A240" t="s">
        <v>174</v>
      </c>
      <c r="B240" t="s">
        <v>36</v>
      </c>
      <c r="C240" t="s">
        <v>155</v>
      </c>
      <c r="D240" t="s">
        <v>146</v>
      </c>
      <c r="E240" t="s">
        <v>177</v>
      </c>
      <c r="F240" t="s">
        <v>19</v>
      </c>
      <c r="G240" t="s">
        <v>18</v>
      </c>
      <c r="H240">
        <v>1</v>
      </c>
      <c r="I240">
        <v>1</v>
      </c>
      <c r="J240">
        <v>0</v>
      </c>
      <c r="K240">
        <v>8</v>
      </c>
      <c r="L240">
        <v>8</v>
      </c>
      <c r="M240">
        <v>0.125</v>
      </c>
    </row>
    <row r="241" spans="1:13" x14ac:dyDescent="0.35">
      <c r="A241" t="s">
        <v>174</v>
      </c>
      <c r="B241" t="s">
        <v>36</v>
      </c>
      <c r="C241" t="s">
        <v>158</v>
      </c>
      <c r="D241" t="s">
        <v>146</v>
      </c>
      <c r="E241" t="s">
        <v>176</v>
      </c>
      <c r="F241" t="s">
        <v>16</v>
      </c>
      <c r="G241" t="s">
        <v>17</v>
      </c>
      <c r="H241">
        <v>4</v>
      </c>
      <c r="I241">
        <v>4</v>
      </c>
      <c r="J241">
        <v>0</v>
      </c>
      <c r="K241">
        <v>49</v>
      </c>
      <c r="L241">
        <v>47</v>
      </c>
      <c r="M241">
        <v>8.5106382978723402E-2</v>
      </c>
    </row>
    <row r="242" spans="1:13" x14ac:dyDescent="0.35">
      <c r="A242" t="s">
        <v>174</v>
      </c>
      <c r="B242" t="s">
        <v>36</v>
      </c>
      <c r="C242" t="s">
        <v>152</v>
      </c>
      <c r="D242" t="s">
        <v>146</v>
      </c>
      <c r="E242" t="s">
        <v>176</v>
      </c>
      <c r="F242" t="s">
        <v>16</v>
      </c>
      <c r="G242" t="s">
        <v>17</v>
      </c>
      <c r="H242">
        <v>17</v>
      </c>
      <c r="I242">
        <v>17</v>
      </c>
      <c r="J242">
        <v>0</v>
      </c>
      <c r="K242">
        <v>88</v>
      </c>
      <c r="L242">
        <v>79</v>
      </c>
      <c r="M242">
        <v>0.21518987341772153</v>
      </c>
    </row>
    <row r="243" spans="1:13" x14ac:dyDescent="0.35">
      <c r="A243" t="s">
        <v>174</v>
      </c>
      <c r="B243" t="s">
        <v>36</v>
      </c>
      <c r="C243" t="s">
        <v>148</v>
      </c>
      <c r="D243" t="s">
        <v>146</v>
      </c>
      <c r="E243" t="s">
        <v>176</v>
      </c>
      <c r="F243" t="s">
        <v>16</v>
      </c>
      <c r="G243" t="s">
        <v>17</v>
      </c>
      <c r="H243">
        <v>8</v>
      </c>
      <c r="I243">
        <v>7</v>
      </c>
      <c r="J243">
        <v>1</v>
      </c>
      <c r="K243">
        <v>153</v>
      </c>
      <c r="L243">
        <v>144</v>
      </c>
      <c r="M243">
        <v>5.5555555555555552E-2</v>
      </c>
    </row>
    <row r="244" spans="1:13" x14ac:dyDescent="0.35">
      <c r="A244" t="s">
        <v>174</v>
      </c>
      <c r="B244" t="s">
        <v>36</v>
      </c>
      <c r="C244" t="s">
        <v>154</v>
      </c>
      <c r="D244" t="s">
        <v>146</v>
      </c>
      <c r="E244" t="s">
        <v>176</v>
      </c>
      <c r="F244" t="s">
        <v>16</v>
      </c>
      <c r="G244" t="s">
        <v>17</v>
      </c>
      <c r="H244">
        <v>0</v>
      </c>
      <c r="I244">
        <v>0</v>
      </c>
      <c r="J244">
        <v>0</v>
      </c>
      <c r="K244">
        <v>13</v>
      </c>
      <c r="L244">
        <v>12</v>
      </c>
      <c r="M244">
        <v>0</v>
      </c>
    </row>
    <row r="245" spans="1:13" x14ac:dyDescent="0.35">
      <c r="A245" t="s">
        <v>174</v>
      </c>
      <c r="B245" t="s">
        <v>36</v>
      </c>
      <c r="C245" t="s">
        <v>150</v>
      </c>
      <c r="D245" t="s">
        <v>146</v>
      </c>
      <c r="E245" t="s">
        <v>176</v>
      </c>
      <c r="F245" t="s">
        <v>16</v>
      </c>
      <c r="G245" t="s">
        <v>17</v>
      </c>
      <c r="H245">
        <v>2</v>
      </c>
      <c r="I245">
        <v>2</v>
      </c>
      <c r="J245">
        <v>0</v>
      </c>
      <c r="K245">
        <v>11</v>
      </c>
      <c r="L245">
        <v>11</v>
      </c>
      <c r="M245">
        <v>0.18181818181818182</v>
      </c>
    </row>
    <row r="246" spans="1:13" x14ac:dyDescent="0.35">
      <c r="A246" t="s">
        <v>174</v>
      </c>
      <c r="B246" t="s">
        <v>36</v>
      </c>
      <c r="C246" t="s">
        <v>156</v>
      </c>
      <c r="D246" t="s">
        <v>146</v>
      </c>
      <c r="E246" t="s">
        <v>176</v>
      </c>
      <c r="F246" t="s">
        <v>16</v>
      </c>
      <c r="G246" t="s">
        <v>17</v>
      </c>
      <c r="H246">
        <v>1</v>
      </c>
      <c r="I246">
        <v>1</v>
      </c>
      <c r="J246">
        <v>0</v>
      </c>
      <c r="K246">
        <v>13</v>
      </c>
      <c r="L246">
        <v>12</v>
      </c>
      <c r="M246">
        <v>8.3333333333333329E-2</v>
      </c>
    </row>
    <row r="247" spans="1:13" x14ac:dyDescent="0.35">
      <c r="A247" t="s">
        <v>174</v>
      </c>
      <c r="B247" t="s">
        <v>36</v>
      </c>
      <c r="C247" t="s">
        <v>153</v>
      </c>
      <c r="D247" t="s">
        <v>146</v>
      </c>
      <c r="E247" t="s">
        <v>176</v>
      </c>
      <c r="F247" t="s">
        <v>16</v>
      </c>
      <c r="G247" t="s">
        <v>17</v>
      </c>
      <c r="H247">
        <v>0</v>
      </c>
      <c r="I247">
        <v>0</v>
      </c>
      <c r="J247">
        <v>0</v>
      </c>
      <c r="K247">
        <v>4</v>
      </c>
      <c r="L247">
        <v>3</v>
      </c>
      <c r="M247">
        <v>0</v>
      </c>
    </row>
    <row r="248" spans="1:13" x14ac:dyDescent="0.35">
      <c r="A248" t="s">
        <v>174</v>
      </c>
      <c r="B248" t="s">
        <v>36</v>
      </c>
      <c r="C248" t="s">
        <v>155</v>
      </c>
      <c r="D248" t="s">
        <v>146</v>
      </c>
      <c r="E248" t="s">
        <v>176</v>
      </c>
      <c r="F248" t="s">
        <v>16</v>
      </c>
      <c r="G248" t="s">
        <v>17</v>
      </c>
      <c r="H248">
        <v>0</v>
      </c>
      <c r="I248">
        <v>0</v>
      </c>
      <c r="J248">
        <v>0</v>
      </c>
      <c r="K248">
        <v>6</v>
      </c>
      <c r="L248">
        <v>6</v>
      </c>
      <c r="M248">
        <v>0</v>
      </c>
    </row>
    <row r="249" spans="1:13" x14ac:dyDescent="0.35">
      <c r="A249" t="s">
        <v>174</v>
      </c>
      <c r="B249" t="s">
        <v>36</v>
      </c>
      <c r="C249" t="s">
        <v>157</v>
      </c>
      <c r="D249" t="s">
        <v>146</v>
      </c>
      <c r="E249" t="s">
        <v>176</v>
      </c>
      <c r="F249" t="s">
        <v>16</v>
      </c>
      <c r="G249" t="s">
        <v>17</v>
      </c>
      <c r="H249">
        <v>0</v>
      </c>
      <c r="I249">
        <v>0</v>
      </c>
      <c r="J249">
        <v>0</v>
      </c>
      <c r="K249">
        <v>15</v>
      </c>
      <c r="L249">
        <v>15</v>
      </c>
      <c r="M249">
        <v>0</v>
      </c>
    </row>
    <row r="250" spans="1:13" x14ac:dyDescent="0.35">
      <c r="A250" t="s">
        <v>174</v>
      </c>
      <c r="B250" t="s">
        <v>36</v>
      </c>
      <c r="C250" t="s">
        <v>151</v>
      </c>
      <c r="D250" t="s">
        <v>146</v>
      </c>
      <c r="E250" t="s">
        <v>176</v>
      </c>
      <c r="F250" t="s">
        <v>16</v>
      </c>
      <c r="G250" t="s">
        <v>17</v>
      </c>
      <c r="H250">
        <v>0</v>
      </c>
      <c r="I250">
        <v>0</v>
      </c>
      <c r="J250">
        <v>0</v>
      </c>
      <c r="K250">
        <v>8</v>
      </c>
      <c r="L250">
        <v>8</v>
      </c>
      <c r="M250">
        <v>0</v>
      </c>
    </row>
    <row r="251" spans="1:13" x14ac:dyDescent="0.35">
      <c r="A251" t="s">
        <v>174</v>
      </c>
      <c r="B251" t="s">
        <v>36</v>
      </c>
      <c r="C251" t="s">
        <v>145</v>
      </c>
      <c r="D251" t="s">
        <v>162</v>
      </c>
      <c r="E251" t="s">
        <v>175</v>
      </c>
      <c r="F251" t="s">
        <v>18</v>
      </c>
      <c r="G251" t="s">
        <v>38</v>
      </c>
      <c r="H251">
        <v>19</v>
      </c>
      <c r="I251">
        <v>18</v>
      </c>
      <c r="J251">
        <v>0</v>
      </c>
      <c r="K251">
        <v>62</v>
      </c>
      <c r="L251">
        <v>56</v>
      </c>
      <c r="M251">
        <v>0.3392857142857143</v>
      </c>
    </row>
    <row r="252" spans="1:13" x14ac:dyDescent="0.35">
      <c r="A252" t="s">
        <v>174</v>
      </c>
      <c r="B252" t="s">
        <v>36</v>
      </c>
      <c r="C252" t="s">
        <v>148</v>
      </c>
      <c r="D252" t="s">
        <v>146</v>
      </c>
      <c r="E252" t="s">
        <v>182</v>
      </c>
      <c r="F252" t="s">
        <v>183</v>
      </c>
      <c r="G252" t="s">
        <v>18</v>
      </c>
      <c r="H252">
        <v>13</v>
      </c>
      <c r="I252">
        <v>12</v>
      </c>
      <c r="J252">
        <v>1</v>
      </c>
      <c r="K252">
        <v>238</v>
      </c>
      <c r="L252">
        <v>224</v>
      </c>
      <c r="M252">
        <v>5.8035714285714288E-2</v>
      </c>
    </row>
    <row r="253" spans="1:13" x14ac:dyDescent="0.35">
      <c r="A253" t="s">
        <v>174</v>
      </c>
      <c r="B253" t="s">
        <v>36</v>
      </c>
      <c r="C253" t="s">
        <v>153</v>
      </c>
      <c r="D253" t="s">
        <v>146</v>
      </c>
      <c r="E253" t="s">
        <v>182</v>
      </c>
      <c r="F253" t="s">
        <v>183</v>
      </c>
      <c r="G253" t="s">
        <v>18</v>
      </c>
      <c r="H253">
        <v>0</v>
      </c>
      <c r="I253">
        <v>0</v>
      </c>
      <c r="J253">
        <v>0</v>
      </c>
      <c r="K253">
        <v>30</v>
      </c>
      <c r="L253">
        <v>29</v>
      </c>
      <c r="M253">
        <v>0</v>
      </c>
    </row>
    <row r="254" spans="1:13" x14ac:dyDescent="0.35">
      <c r="A254" t="s">
        <v>174</v>
      </c>
      <c r="B254" t="s">
        <v>36</v>
      </c>
      <c r="C254" t="s">
        <v>155</v>
      </c>
      <c r="D254" t="s">
        <v>146</v>
      </c>
      <c r="E254" t="s">
        <v>182</v>
      </c>
      <c r="F254" t="s">
        <v>183</v>
      </c>
      <c r="G254" t="s">
        <v>18</v>
      </c>
      <c r="H254">
        <v>1</v>
      </c>
      <c r="I254">
        <v>1</v>
      </c>
      <c r="J254">
        <v>0</v>
      </c>
      <c r="K254">
        <v>22</v>
      </c>
      <c r="L254">
        <v>22</v>
      </c>
      <c r="M254">
        <v>4.5454545454545456E-2</v>
      </c>
    </row>
    <row r="255" spans="1:13" x14ac:dyDescent="0.35">
      <c r="A255" t="s">
        <v>174</v>
      </c>
      <c r="B255" t="s">
        <v>36</v>
      </c>
      <c r="C255" t="s">
        <v>157</v>
      </c>
      <c r="D255" t="s">
        <v>146</v>
      </c>
      <c r="E255" t="s">
        <v>182</v>
      </c>
      <c r="F255" t="s">
        <v>183</v>
      </c>
      <c r="G255" t="s">
        <v>18</v>
      </c>
      <c r="H255">
        <v>0</v>
      </c>
      <c r="I255">
        <v>0</v>
      </c>
      <c r="J255">
        <v>0</v>
      </c>
      <c r="K255">
        <v>16</v>
      </c>
      <c r="L255">
        <v>16</v>
      </c>
      <c r="M255">
        <v>0</v>
      </c>
    </row>
    <row r="256" spans="1:13" x14ac:dyDescent="0.35">
      <c r="A256" t="s">
        <v>174</v>
      </c>
      <c r="B256" t="s">
        <v>36</v>
      </c>
      <c r="C256" t="s">
        <v>152</v>
      </c>
      <c r="D256" t="s">
        <v>146</v>
      </c>
      <c r="E256" t="s">
        <v>182</v>
      </c>
      <c r="F256" t="s">
        <v>183</v>
      </c>
      <c r="G256" t="s">
        <v>18</v>
      </c>
      <c r="H256">
        <v>5</v>
      </c>
      <c r="I256">
        <v>5</v>
      </c>
      <c r="J256">
        <v>0</v>
      </c>
      <c r="K256">
        <v>61</v>
      </c>
      <c r="L256">
        <v>53</v>
      </c>
      <c r="M256">
        <v>9.4339622641509441E-2</v>
      </c>
    </row>
    <row r="257" spans="1:13" x14ac:dyDescent="0.35">
      <c r="A257" t="s">
        <v>174</v>
      </c>
      <c r="B257" t="s">
        <v>36</v>
      </c>
      <c r="C257" t="s">
        <v>154</v>
      </c>
      <c r="D257" t="s">
        <v>146</v>
      </c>
      <c r="E257" t="s">
        <v>182</v>
      </c>
      <c r="F257" t="s">
        <v>183</v>
      </c>
      <c r="G257" t="s">
        <v>18</v>
      </c>
      <c r="H257">
        <v>0</v>
      </c>
      <c r="I257">
        <v>0</v>
      </c>
      <c r="J257">
        <v>0</v>
      </c>
      <c r="K257">
        <v>14</v>
      </c>
      <c r="L257">
        <v>14</v>
      </c>
      <c r="M257">
        <v>0</v>
      </c>
    </row>
    <row r="258" spans="1:13" x14ac:dyDescent="0.35">
      <c r="A258" t="s">
        <v>174</v>
      </c>
      <c r="B258" t="s">
        <v>36</v>
      </c>
      <c r="C258" t="s">
        <v>151</v>
      </c>
      <c r="D258" t="s">
        <v>146</v>
      </c>
      <c r="E258" t="s">
        <v>182</v>
      </c>
      <c r="F258" t="s">
        <v>183</v>
      </c>
      <c r="G258" t="s">
        <v>18</v>
      </c>
      <c r="H258">
        <v>1</v>
      </c>
      <c r="I258">
        <v>1</v>
      </c>
      <c r="J258">
        <v>0</v>
      </c>
      <c r="K258">
        <v>81</v>
      </c>
      <c r="L258">
        <v>66</v>
      </c>
      <c r="M258">
        <v>1.5151515151515152E-2</v>
      </c>
    </row>
    <row r="259" spans="1:13" x14ac:dyDescent="0.35">
      <c r="A259" t="s">
        <v>174</v>
      </c>
      <c r="B259" t="s">
        <v>36</v>
      </c>
      <c r="C259" t="s">
        <v>156</v>
      </c>
      <c r="D259" t="s">
        <v>146</v>
      </c>
      <c r="E259" t="s">
        <v>182</v>
      </c>
      <c r="F259" t="s">
        <v>183</v>
      </c>
      <c r="G259" t="s">
        <v>18</v>
      </c>
      <c r="H259">
        <v>3</v>
      </c>
      <c r="I259">
        <v>3</v>
      </c>
      <c r="J259">
        <v>0</v>
      </c>
      <c r="K259">
        <v>16</v>
      </c>
      <c r="L259">
        <v>15</v>
      </c>
      <c r="M259">
        <v>0.2</v>
      </c>
    </row>
    <row r="260" spans="1:13" x14ac:dyDescent="0.35">
      <c r="A260" t="s">
        <v>174</v>
      </c>
      <c r="B260" t="s">
        <v>36</v>
      </c>
      <c r="C260" t="s">
        <v>150</v>
      </c>
      <c r="D260" t="s">
        <v>146</v>
      </c>
      <c r="E260" t="s">
        <v>182</v>
      </c>
      <c r="F260" t="s">
        <v>183</v>
      </c>
      <c r="G260" t="s">
        <v>18</v>
      </c>
      <c r="H260">
        <v>1</v>
      </c>
      <c r="I260">
        <v>1</v>
      </c>
      <c r="J260">
        <v>0</v>
      </c>
      <c r="K260">
        <v>18</v>
      </c>
      <c r="L260">
        <v>18</v>
      </c>
      <c r="M260">
        <v>5.5555555555555552E-2</v>
      </c>
    </row>
    <row r="261" spans="1:13" x14ac:dyDescent="0.35">
      <c r="A261" t="s">
        <v>174</v>
      </c>
      <c r="B261" t="s">
        <v>36</v>
      </c>
      <c r="C261" t="s">
        <v>158</v>
      </c>
      <c r="D261" t="s">
        <v>146</v>
      </c>
      <c r="E261" t="s">
        <v>182</v>
      </c>
      <c r="F261" t="s">
        <v>183</v>
      </c>
      <c r="G261" t="s">
        <v>18</v>
      </c>
      <c r="H261">
        <v>4</v>
      </c>
      <c r="I261">
        <v>4</v>
      </c>
      <c r="J261">
        <v>0</v>
      </c>
      <c r="K261">
        <v>46</v>
      </c>
      <c r="L261">
        <v>46</v>
      </c>
      <c r="M261">
        <v>8.6956521739130432E-2</v>
      </c>
    </row>
    <row r="262" spans="1:13" x14ac:dyDescent="0.35">
      <c r="A262" t="s">
        <v>174</v>
      </c>
      <c r="B262" t="s">
        <v>36</v>
      </c>
      <c r="C262" t="s">
        <v>157</v>
      </c>
      <c r="D262" t="s">
        <v>146</v>
      </c>
      <c r="E262" t="s">
        <v>180</v>
      </c>
      <c r="F262" t="s">
        <v>21</v>
      </c>
      <c r="G262" t="s">
        <v>181</v>
      </c>
      <c r="H262">
        <v>1</v>
      </c>
      <c r="I262">
        <v>1</v>
      </c>
      <c r="J262">
        <v>0</v>
      </c>
      <c r="K262">
        <v>6</v>
      </c>
      <c r="L262">
        <v>6</v>
      </c>
      <c r="M262">
        <v>0.16666666666666666</v>
      </c>
    </row>
    <row r="263" spans="1:13" x14ac:dyDescent="0.35">
      <c r="A263" t="s">
        <v>185</v>
      </c>
      <c r="B263" t="s">
        <v>13</v>
      </c>
      <c r="C263" t="s">
        <v>151</v>
      </c>
      <c r="D263" t="s">
        <v>146</v>
      </c>
      <c r="E263" t="s">
        <v>186</v>
      </c>
      <c r="F263" t="s">
        <v>19</v>
      </c>
      <c r="G263" t="s">
        <v>18</v>
      </c>
      <c r="H263">
        <v>1</v>
      </c>
      <c r="I263">
        <v>0</v>
      </c>
      <c r="J263">
        <v>0</v>
      </c>
      <c r="K263">
        <v>121</v>
      </c>
      <c r="L263">
        <v>114</v>
      </c>
      <c r="M263">
        <v>8.771929824561403E-3</v>
      </c>
    </row>
    <row r="264" spans="1:13" x14ac:dyDescent="0.35">
      <c r="A264" t="s">
        <v>185</v>
      </c>
      <c r="B264" t="s">
        <v>13</v>
      </c>
      <c r="C264" t="s">
        <v>152</v>
      </c>
      <c r="D264" t="s">
        <v>146</v>
      </c>
      <c r="E264" t="s">
        <v>186</v>
      </c>
      <c r="F264" t="s">
        <v>19</v>
      </c>
      <c r="G264" t="s">
        <v>18</v>
      </c>
      <c r="H264">
        <v>7</v>
      </c>
      <c r="I264">
        <v>0</v>
      </c>
      <c r="J264">
        <v>3</v>
      </c>
      <c r="K264">
        <v>22</v>
      </c>
      <c r="L264">
        <v>22</v>
      </c>
      <c r="M264">
        <v>0.31818181818181818</v>
      </c>
    </row>
    <row r="265" spans="1:13" x14ac:dyDescent="0.35">
      <c r="A265" t="s">
        <v>185</v>
      </c>
      <c r="B265" t="s">
        <v>13</v>
      </c>
      <c r="C265" t="s">
        <v>154</v>
      </c>
      <c r="D265" t="s">
        <v>146</v>
      </c>
      <c r="E265" t="s">
        <v>186</v>
      </c>
      <c r="F265" t="s">
        <v>19</v>
      </c>
      <c r="G265" t="s">
        <v>18</v>
      </c>
      <c r="H265">
        <v>2</v>
      </c>
      <c r="I265">
        <v>0</v>
      </c>
      <c r="J265">
        <v>0</v>
      </c>
      <c r="K265">
        <v>19</v>
      </c>
      <c r="L265">
        <v>15</v>
      </c>
      <c r="M265">
        <v>0.13333333333333333</v>
      </c>
    </row>
    <row r="266" spans="1:13" x14ac:dyDescent="0.35">
      <c r="A266" t="s">
        <v>185</v>
      </c>
      <c r="B266" t="s">
        <v>13</v>
      </c>
      <c r="C266" t="s">
        <v>149</v>
      </c>
      <c r="D266" t="s">
        <v>146</v>
      </c>
      <c r="E266" t="s">
        <v>186</v>
      </c>
      <c r="F266" t="s">
        <v>19</v>
      </c>
      <c r="G266" t="s">
        <v>18</v>
      </c>
      <c r="H266">
        <v>0</v>
      </c>
      <c r="I266">
        <v>0</v>
      </c>
      <c r="J266">
        <v>0</v>
      </c>
      <c r="K266">
        <v>143</v>
      </c>
      <c r="L266">
        <v>141</v>
      </c>
      <c r="M266">
        <v>0</v>
      </c>
    </row>
    <row r="267" spans="1:13" x14ac:dyDescent="0.35">
      <c r="A267" t="s">
        <v>185</v>
      </c>
      <c r="B267" t="s">
        <v>13</v>
      </c>
      <c r="C267" t="s">
        <v>155</v>
      </c>
      <c r="D267" t="s">
        <v>146</v>
      </c>
      <c r="E267" t="s">
        <v>186</v>
      </c>
      <c r="F267" t="s">
        <v>19</v>
      </c>
      <c r="G267" t="s">
        <v>18</v>
      </c>
      <c r="H267">
        <v>2</v>
      </c>
      <c r="I267">
        <v>0</v>
      </c>
      <c r="J267">
        <v>1</v>
      </c>
      <c r="K267">
        <v>110</v>
      </c>
      <c r="L267">
        <v>110</v>
      </c>
      <c r="M267">
        <v>1.8181818181818181E-2</v>
      </c>
    </row>
    <row r="268" spans="1:13" x14ac:dyDescent="0.35">
      <c r="A268" t="s">
        <v>185</v>
      </c>
      <c r="B268" t="s">
        <v>13</v>
      </c>
      <c r="C268" t="s">
        <v>156</v>
      </c>
      <c r="D268" t="s">
        <v>146</v>
      </c>
      <c r="E268" t="s">
        <v>186</v>
      </c>
      <c r="F268" t="s">
        <v>19</v>
      </c>
      <c r="G268" t="s">
        <v>18</v>
      </c>
      <c r="H268">
        <v>4</v>
      </c>
      <c r="I268">
        <v>0</v>
      </c>
      <c r="J268">
        <v>3</v>
      </c>
      <c r="K268">
        <v>31</v>
      </c>
      <c r="L268">
        <v>30</v>
      </c>
      <c r="M268">
        <v>0.13333333333333333</v>
      </c>
    </row>
    <row r="269" spans="1:13" x14ac:dyDescent="0.35">
      <c r="A269" t="s">
        <v>185</v>
      </c>
      <c r="B269" t="s">
        <v>13</v>
      </c>
      <c r="C269" t="s">
        <v>158</v>
      </c>
      <c r="D269" t="s">
        <v>146</v>
      </c>
      <c r="E269" t="s">
        <v>186</v>
      </c>
      <c r="F269" t="s">
        <v>19</v>
      </c>
      <c r="G269" t="s">
        <v>18</v>
      </c>
      <c r="H269">
        <v>4</v>
      </c>
      <c r="I269">
        <v>0</v>
      </c>
      <c r="J269">
        <v>1</v>
      </c>
      <c r="K269">
        <v>523</v>
      </c>
      <c r="L269">
        <v>523</v>
      </c>
      <c r="M269">
        <v>7.6481835564053535E-3</v>
      </c>
    </row>
    <row r="270" spans="1:13" x14ac:dyDescent="0.35">
      <c r="A270" t="s">
        <v>185</v>
      </c>
      <c r="B270" t="s">
        <v>13</v>
      </c>
      <c r="C270" t="s">
        <v>157</v>
      </c>
      <c r="D270" t="s">
        <v>146</v>
      </c>
      <c r="E270" t="s">
        <v>186</v>
      </c>
      <c r="F270" t="s">
        <v>19</v>
      </c>
      <c r="G270" t="s">
        <v>18</v>
      </c>
      <c r="H270">
        <v>5</v>
      </c>
      <c r="I270">
        <v>0</v>
      </c>
      <c r="J270">
        <v>0</v>
      </c>
      <c r="K270">
        <v>594</v>
      </c>
      <c r="L270">
        <v>564</v>
      </c>
      <c r="M270">
        <v>8.8652482269503553E-3</v>
      </c>
    </row>
    <row r="271" spans="1:13" x14ac:dyDescent="0.35">
      <c r="A271" t="s">
        <v>185</v>
      </c>
      <c r="B271" t="s">
        <v>13</v>
      </c>
      <c r="C271" t="s">
        <v>150</v>
      </c>
      <c r="D271" t="s">
        <v>146</v>
      </c>
      <c r="E271" t="s">
        <v>186</v>
      </c>
      <c r="F271" t="s">
        <v>19</v>
      </c>
      <c r="G271" t="s">
        <v>18</v>
      </c>
      <c r="H271">
        <v>0</v>
      </c>
      <c r="I271">
        <v>0</v>
      </c>
      <c r="J271">
        <v>0</v>
      </c>
      <c r="K271">
        <v>61</v>
      </c>
      <c r="L271">
        <v>61</v>
      </c>
      <c r="M271">
        <v>0</v>
      </c>
    </row>
    <row r="272" spans="1:13" x14ac:dyDescent="0.35">
      <c r="A272" t="s">
        <v>185</v>
      </c>
      <c r="B272" t="s">
        <v>13</v>
      </c>
      <c r="C272" t="s">
        <v>148</v>
      </c>
      <c r="D272" t="s">
        <v>146</v>
      </c>
      <c r="E272" t="s">
        <v>186</v>
      </c>
      <c r="F272" t="s">
        <v>19</v>
      </c>
      <c r="G272" t="s">
        <v>18</v>
      </c>
      <c r="H272">
        <v>5</v>
      </c>
      <c r="I272">
        <v>0</v>
      </c>
      <c r="J272">
        <v>2</v>
      </c>
      <c r="K272">
        <v>209</v>
      </c>
      <c r="L272">
        <v>205</v>
      </c>
      <c r="M272">
        <v>2.4390243902439025E-2</v>
      </c>
    </row>
    <row r="273" spans="1:13" x14ac:dyDescent="0.35">
      <c r="A273" t="s">
        <v>185</v>
      </c>
      <c r="B273" t="s">
        <v>13</v>
      </c>
      <c r="C273" t="s">
        <v>153</v>
      </c>
      <c r="D273" t="s">
        <v>146</v>
      </c>
      <c r="E273" t="s">
        <v>186</v>
      </c>
      <c r="F273" t="s">
        <v>19</v>
      </c>
      <c r="G273" t="s">
        <v>18</v>
      </c>
      <c r="H273">
        <v>0</v>
      </c>
      <c r="I273">
        <v>0</v>
      </c>
      <c r="J273">
        <v>0</v>
      </c>
      <c r="K273">
        <v>19</v>
      </c>
      <c r="L273">
        <v>19</v>
      </c>
      <c r="M273">
        <v>0</v>
      </c>
    </row>
    <row r="274" spans="1:13" x14ac:dyDescent="0.35">
      <c r="A274" t="s">
        <v>185</v>
      </c>
      <c r="B274" t="s">
        <v>13</v>
      </c>
      <c r="C274" t="s">
        <v>145</v>
      </c>
      <c r="D274" t="s">
        <v>162</v>
      </c>
      <c r="E274" t="s">
        <v>187</v>
      </c>
      <c r="F274" t="s">
        <v>21</v>
      </c>
      <c r="G274" t="s">
        <v>181</v>
      </c>
      <c r="H274">
        <v>3</v>
      </c>
      <c r="I274">
        <v>0</v>
      </c>
      <c r="J274">
        <v>0</v>
      </c>
      <c r="K274">
        <v>21</v>
      </c>
      <c r="L274">
        <v>20</v>
      </c>
      <c r="M274">
        <v>0.15</v>
      </c>
    </row>
    <row r="275" spans="1:13" x14ac:dyDescent="0.35">
      <c r="A275" t="s">
        <v>185</v>
      </c>
      <c r="B275" t="s">
        <v>13</v>
      </c>
      <c r="C275" t="s">
        <v>149</v>
      </c>
      <c r="D275" t="s">
        <v>146</v>
      </c>
      <c r="E275" t="s">
        <v>187</v>
      </c>
      <c r="F275" t="s">
        <v>19</v>
      </c>
      <c r="G275" t="s">
        <v>18</v>
      </c>
      <c r="H275">
        <v>1</v>
      </c>
      <c r="I275">
        <v>0</v>
      </c>
      <c r="J275">
        <v>0</v>
      </c>
      <c r="K275">
        <v>174</v>
      </c>
      <c r="L275">
        <v>169</v>
      </c>
      <c r="M275">
        <v>5.9171597633136093E-3</v>
      </c>
    </row>
    <row r="276" spans="1:13" x14ac:dyDescent="0.35">
      <c r="A276" t="s">
        <v>185</v>
      </c>
      <c r="B276" t="s">
        <v>13</v>
      </c>
      <c r="C276" t="s">
        <v>153</v>
      </c>
      <c r="D276" t="s">
        <v>146</v>
      </c>
      <c r="E276" t="s">
        <v>187</v>
      </c>
      <c r="F276" t="s">
        <v>19</v>
      </c>
      <c r="G276" t="s">
        <v>18</v>
      </c>
      <c r="H276">
        <v>0</v>
      </c>
      <c r="I276">
        <v>0</v>
      </c>
      <c r="J276">
        <v>0</v>
      </c>
      <c r="K276">
        <v>27</v>
      </c>
      <c r="L276">
        <v>25</v>
      </c>
      <c r="M276">
        <v>0</v>
      </c>
    </row>
    <row r="277" spans="1:13" x14ac:dyDescent="0.35">
      <c r="A277" t="s">
        <v>185</v>
      </c>
      <c r="B277" t="s">
        <v>13</v>
      </c>
      <c r="C277" t="s">
        <v>150</v>
      </c>
      <c r="D277" t="s">
        <v>146</v>
      </c>
      <c r="E277" t="s">
        <v>187</v>
      </c>
      <c r="F277" t="s">
        <v>19</v>
      </c>
      <c r="G277" t="s">
        <v>18</v>
      </c>
      <c r="H277">
        <v>0</v>
      </c>
      <c r="I277">
        <v>0</v>
      </c>
      <c r="J277">
        <v>0</v>
      </c>
      <c r="K277">
        <v>62</v>
      </c>
      <c r="L277">
        <v>61</v>
      </c>
      <c r="M277">
        <v>0</v>
      </c>
    </row>
    <row r="278" spans="1:13" x14ac:dyDescent="0.35">
      <c r="A278" t="s">
        <v>185</v>
      </c>
      <c r="B278" t="s">
        <v>13</v>
      </c>
      <c r="C278" t="s">
        <v>151</v>
      </c>
      <c r="D278" t="s">
        <v>146</v>
      </c>
      <c r="E278" t="s">
        <v>187</v>
      </c>
      <c r="F278" t="s">
        <v>19</v>
      </c>
      <c r="G278" t="s">
        <v>18</v>
      </c>
      <c r="H278">
        <v>3</v>
      </c>
      <c r="I278">
        <v>0</v>
      </c>
      <c r="J278">
        <v>0</v>
      </c>
      <c r="K278">
        <v>83</v>
      </c>
      <c r="L278">
        <v>78</v>
      </c>
      <c r="M278">
        <v>3.8461538461538464E-2</v>
      </c>
    </row>
    <row r="279" spans="1:13" x14ac:dyDescent="0.35">
      <c r="A279" t="s">
        <v>185</v>
      </c>
      <c r="B279" t="s">
        <v>13</v>
      </c>
      <c r="C279" t="s">
        <v>152</v>
      </c>
      <c r="D279" t="s">
        <v>146</v>
      </c>
      <c r="E279" t="s">
        <v>187</v>
      </c>
      <c r="F279" t="s">
        <v>19</v>
      </c>
      <c r="G279" t="s">
        <v>18</v>
      </c>
      <c r="H279">
        <v>4</v>
      </c>
      <c r="I279">
        <v>0</v>
      </c>
      <c r="J279">
        <v>2</v>
      </c>
      <c r="K279">
        <v>25</v>
      </c>
      <c r="L279">
        <v>24</v>
      </c>
      <c r="M279">
        <v>0.16666666666666666</v>
      </c>
    </row>
    <row r="280" spans="1:13" x14ac:dyDescent="0.35">
      <c r="A280" t="s">
        <v>185</v>
      </c>
      <c r="B280" t="s">
        <v>13</v>
      </c>
      <c r="C280" t="s">
        <v>154</v>
      </c>
      <c r="D280" t="s">
        <v>146</v>
      </c>
      <c r="E280" t="s">
        <v>187</v>
      </c>
      <c r="F280" t="s">
        <v>19</v>
      </c>
      <c r="G280" t="s">
        <v>18</v>
      </c>
      <c r="H280">
        <v>0</v>
      </c>
      <c r="I280">
        <v>0</v>
      </c>
      <c r="J280">
        <v>0</v>
      </c>
      <c r="K280">
        <v>25</v>
      </c>
      <c r="L280">
        <v>20</v>
      </c>
      <c r="M280">
        <v>0</v>
      </c>
    </row>
    <row r="281" spans="1:13" x14ac:dyDescent="0.35">
      <c r="A281" t="s">
        <v>185</v>
      </c>
      <c r="B281" t="s">
        <v>13</v>
      </c>
      <c r="C281" t="s">
        <v>148</v>
      </c>
      <c r="D281" t="s">
        <v>146</v>
      </c>
      <c r="E281" t="s">
        <v>187</v>
      </c>
      <c r="F281" t="s">
        <v>19</v>
      </c>
      <c r="G281" t="s">
        <v>18</v>
      </c>
      <c r="H281">
        <v>7</v>
      </c>
      <c r="I281">
        <v>0</v>
      </c>
      <c r="J281">
        <v>2</v>
      </c>
      <c r="K281">
        <v>231</v>
      </c>
      <c r="L281">
        <v>227</v>
      </c>
      <c r="M281">
        <v>3.0837004405286344E-2</v>
      </c>
    </row>
    <row r="282" spans="1:13" x14ac:dyDescent="0.35">
      <c r="A282" t="s">
        <v>185</v>
      </c>
      <c r="B282" t="s">
        <v>13</v>
      </c>
      <c r="C282" t="s">
        <v>155</v>
      </c>
      <c r="D282" t="s">
        <v>146</v>
      </c>
      <c r="E282" t="s">
        <v>187</v>
      </c>
      <c r="F282" t="s">
        <v>19</v>
      </c>
      <c r="G282" t="s">
        <v>18</v>
      </c>
      <c r="H282">
        <v>3</v>
      </c>
      <c r="I282">
        <v>0</v>
      </c>
      <c r="J282">
        <v>1</v>
      </c>
      <c r="K282">
        <v>64</v>
      </c>
      <c r="L282">
        <v>64</v>
      </c>
      <c r="M282">
        <v>4.6875E-2</v>
      </c>
    </row>
    <row r="283" spans="1:13" x14ac:dyDescent="0.35">
      <c r="A283" t="s">
        <v>185</v>
      </c>
      <c r="B283" t="s">
        <v>13</v>
      </c>
      <c r="C283" t="s">
        <v>156</v>
      </c>
      <c r="D283" t="s">
        <v>146</v>
      </c>
      <c r="E283" t="s">
        <v>187</v>
      </c>
      <c r="F283" t="s">
        <v>19</v>
      </c>
      <c r="G283" t="s">
        <v>18</v>
      </c>
      <c r="H283">
        <v>9</v>
      </c>
      <c r="I283">
        <v>0</v>
      </c>
      <c r="J283">
        <v>3</v>
      </c>
      <c r="K283">
        <v>37</v>
      </c>
      <c r="L283">
        <v>33</v>
      </c>
      <c r="M283">
        <v>0.27272727272727271</v>
      </c>
    </row>
    <row r="284" spans="1:13" x14ac:dyDescent="0.35">
      <c r="A284" t="s">
        <v>185</v>
      </c>
      <c r="B284" t="s">
        <v>13</v>
      </c>
      <c r="C284" t="s">
        <v>157</v>
      </c>
      <c r="D284" t="s">
        <v>146</v>
      </c>
      <c r="E284" t="s">
        <v>187</v>
      </c>
      <c r="F284" t="s">
        <v>19</v>
      </c>
      <c r="G284" t="s">
        <v>18</v>
      </c>
      <c r="H284">
        <v>0</v>
      </c>
      <c r="I284">
        <v>0</v>
      </c>
      <c r="J284">
        <v>0</v>
      </c>
      <c r="K284">
        <v>557</v>
      </c>
      <c r="L284">
        <v>547</v>
      </c>
      <c r="M284">
        <v>0</v>
      </c>
    </row>
    <row r="285" spans="1:13" x14ac:dyDescent="0.35">
      <c r="A285" t="s">
        <v>185</v>
      </c>
      <c r="B285" t="s">
        <v>13</v>
      </c>
      <c r="C285" t="s">
        <v>158</v>
      </c>
      <c r="D285" t="s">
        <v>146</v>
      </c>
      <c r="E285" t="s">
        <v>187</v>
      </c>
      <c r="F285" t="s">
        <v>19</v>
      </c>
      <c r="G285" t="s">
        <v>18</v>
      </c>
      <c r="H285">
        <v>2</v>
      </c>
      <c r="I285">
        <v>0</v>
      </c>
      <c r="J285">
        <v>1</v>
      </c>
      <c r="K285">
        <v>542</v>
      </c>
      <c r="L285">
        <v>542</v>
      </c>
      <c r="M285">
        <v>3.6900369003690036E-3</v>
      </c>
    </row>
    <row r="286" spans="1:13" x14ac:dyDescent="0.35">
      <c r="A286" t="s">
        <v>185</v>
      </c>
      <c r="B286" t="s">
        <v>13</v>
      </c>
      <c r="C286" t="s">
        <v>145</v>
      </c>
      <c r="D286" t="s">
        <v>188</v>
      </c>
      <c r="E286" t="s">
        <v>189</v>
      </c>
      <c r="F286" t="s">
        <v>190</v>
      </c>
      <c r="G286" t="s">
        <v>191</v>
      </c>
      <c r="H286">
        <v>0</v>
      </c>
      <c r="I286">
        <v>0</v>
      </c>
      <c r="J286">
        <v>0</v>
      </c>
      <c r="K286">
        <v>14</v>
      </c>
      <c r="L286">
        <v>13</v>
      </c>
      <c r="M286">
        <v>0</v>
      </c>
    </row>
    <row r="287" spans="1:13" x14ac:dyDescent="0.35">
      <c r="A287" t="s">
        <v>185</v>
      </c>
      <c r="B287" t="s">
        <v>13</v>
      </c>
      <c r="C287" t="s">
        <v>150</v>
      </c>
      <c r="D287" t="s">
        <v>146</v>
      </c>
      <c r="E287" t="s">
        <v>192</v>
      </c>
      <c r="F287" t="s">
        <v>16</v>
      </c>
      <c r="G287" t="s">
        <v>18</v>
      </c>
      <c r="H287">
        <v>0</v>
      </c>
      <c r="I287">
        <v>0</v>
      </c>
      <c r="J287">
        <v>0</v>
      </c>
      <c r="K287">
        <v>85</v>
      </c>
      <c r="L287">
        <v>84</v>
      </c>
      <c r="M287">
        <v>0</v>
      </c>
    </row>
    <row r="288" spans="1:13" x14ac:dyDescent="0.35">
      <c r="A288" t="s">
        <v>185</v>
      </c>
      <c r="B288" t="s">
        <v>13</v>
      </c>
      <c r="C288" t="s">
        <v>148</v>
      </c>
      <c r="D288" t="s">
        <v>146</v>
      </c>
      <c r="E288" t="s">
        <v>193</v>
      </c>
      <c r="F288" t="s">
        <v>16</v>
      </c>
      <c r="G288" t="s">
        <v>18</v>
      </c>
      <c r="H288">
        <v>14</v>
      </c>
      <c r="I288">
        <v>2</v>
      </c>
      <c r="J288">
        <v>2</v>
      </c>
      <c r="K288">
        <v>227</v>
      </c>
      <c r="L288">
        <v>224</v>
      </c>
      <c r="M288">
        <v>6.25E-2</v>
      </c>
    </row>
    <row r="289" spans="1:13" x14ac:dyDescent="0.35">
      <c r="A289" t="s">
        <v>185</v>
      </c>
      <c r="B289" t="s">
        <v>13</v>
      </c>
      <c r="C289" t="s">
        <v>149</v>
      </c>
      <c r="D289" t="s">
        <v>146</v>
      </c>
      <c r="E289" t="s">
        <v>193</v>
      </c>
      <c r="F289" t="s">
        <v>16</v>
      </c>
      <c r="G289" t="s">
        <v>18</v>
      </c>
      <c r="H289">
        <v>0</v>
      </c>
      <c r="I289">
        <v>0</v>
      </c>
      <c r="J289">
        <v>0</v>
      </c>
      <c r="K289">
        <v>154</v>
      </c>
      <c r="L289">
        <v>149</v>
      </c>
      <c r="M289">
        <v>0</v>
      </c>
    </row>
    <row r="290" spans="1:13" x14ac:dyDescent="0.35">
      <c r="A290" t="s">
        <v>185</v>
      </c>
      <c r="B290" t="s">
        <v>13</v>
      </c>
      <c r="C290" t="s">
        <v>151</v>
      </c>
      <c r="D290" t="s">
        <v>146</v>
      </c>
      <c r="E290" t="s">
        <v>193</v>
      </c>
      <c r="F290" t="s">
        <v>16</v>
      </c>
      <c r="G290" t="s">
        <v>18</v>
      </c>
      <c r="H290">
        <v>0</v>
      </c>
      <c r="I290">
        <v>0</v>
      </c>
      <c r="J290">
        <v>0</v>
      </c>
      <c r="K290">
        <v>37</v>
      </c>
      <c r="L290">
        <v>33</v>
      </c>
      <c r="M290">
        <v>0</v>
      </c>
    </row>
    <row r="291" spans="1:13" x14ac:dyDescent="0.35">
      <c r="A291" t="s">
        <v>185</v>
      </c>
      <c r="B291" t="s">
        <v>13</v>
      </c>
      <c r="C291" t="s">
        <v>152</v>
      </c>
      <c r="D291" t="s">
        <v>146</v>
      </c>
      <c r="E291" t="s">
        <v>193</v>
      </c>
      <c r="F291" t="s">
        <v>16</v>
      </c>
      <c r="G291" t="s">
        <v>18</v>
      </c>
      <c r="H291">
        <v>2</v>
      </c>
      <c r="I291">
        <v>0</v>
      </c>
      <c r="J291">
        <v>1</v>
      </c>
      <c r="K291">
        <v>14</v>
      </c>
      <c r="L291">
        <v>13</v>
      </c>
      <c r="M291">
        <v>0.15384615384615385</v>
      </c>
    </row>
    <row r="292" spans="1:13" x14ac:dyDescent="0.35">
      <c r="A292" t="s">
        <v>185</v>
      </c>
      <c r="B292" t="s">
        <v>13</v>
      </c>
      <c r="C292" t="s">
        <v>153</v>
      </c>
      <c r="D292" t="s">
        <v>146</v>
      </c>
      <c r="E292" t="s">
        <v>193</v>
      </c>
      <c r="F292" t="s">
        <v>16</v>
      </c>
      <c r="G292" t="s">
        <v>18</v>
      </c>
      <c r="H292">
        <v>1</v>
      </c>
      <c r="I292">
        <v>0</v>
      </c>
      <c r="J292">
        <v>0</v>
      </c>
      <c r="K292">
        <v>16</v>
      </c>
      <c r="L292">
        <v>16</v>
      </c>
      <c r="M292">
        <v>6.25E-2</v>
      </c>
    </row>
    <row r="293" spans="1:13" x14ac:dyDescent="0.35">
      <c r="A293" t="s">
        <v>185</v>
      </c>
      <c r="B293" t="s">
        <v>13</v>
      </c>
      <c r="C293" t="s">
        <v>154</v>
      </c>
      <c r="D293" t="s">
        <v>146</v>
      </c>
      <c r="E293" t="s">
        <v>193</v>
      </c>
      <c r="F293" t="s">
        <v>16</v>
      </c>
      <c r="G293" t="s">
        <v>18</v>
      </c>
      <c r="H293">
        <v>0</v>
      </c>
      <c r="I293">
        <v>0</v>
      </c>
      <c r="J293">
        <v>0</v>
      </c>
      <c r="K293">
        <v>20</v>
      </c>
      <c r="L293">
        <v>14</v>
      </c>
      <c r="M293">
        <v>0</v>
      </c>
    </row>
    <row r="294" spans="1:13" x14ac:dyDescent="0.35">
      <c r="A294" t="s">
        <v>185</v>
      </c>
      <c r="B294" t="s">
        <v>13</v>
      </c>
      <c r="C294" t="s">
        <v>155</v>
      </c>
      <c r="D294" t="s">
        <v>146</v>
      </c>
      <c r="E294" t="s">
        <v>193</v>
      </c>
      <c r="F294" t="s">
        <v>16</v>
      </c>
      <c r="G294" t="s">
        <v>18</v>
      </c>
      <c r="H294">
        <v>3</v>
      </c>
      <c r="I294">
        <v>0</v>
      </c>
      <c r="J294">
        <v>2</v>
      </c>
      <c r="K294">
        <v>76</v>
      </c>
      <c r="L294">
        <v>75</v>
      </c>
      <c r="M294">
        <v>0.04</v>
      </c>
    </row>
    <row r="295" spans="1:13" x14ac:dyDescent="0.35">
      <c r="A295" t="s">
        <v>185</v>
      </c>
      <c r="B295" t="s">
        <v>13</v>
      </c>
      <c r="C295" t="s">
        <v>156</v>
      </c>
      <c r="D295" t="s">
        <v>146</v>
      </c>
      <c r="E295" t="s">
        <v>193</v>
      </c>
      <c r="F295" t="s">
        <v>16</v>
      </c>
      <c r="G295" t="s">
        <v>18</v>
      </c>
      <c r="H295">
        <v>5</v>
      </c>
      <c r="I295">
        <v>0</v>
      </c>
      <c r="J295">
        <v>2</v>
      </c>
      <c r="K295">
        <v>32</v>
      </c>
      <c r="L295">
        <v>29</v>
      </c>
      <c r="M295">
        <v>0.17241379310344829</v>
      </c>
    </row>
    <row r="296" spans="1:13" x14ac:dyDescent="0.35">
      <c r="A296" t="s">
        <v>185</v>
      </c>
      <c r="B296" t="s">
        <v>13</v>
      </c>
      <c r="C296" t="s">
        <v>157</v>
      </c>
      <c r="D296" t="s">
        <v>146</v>
      </c>
      <c r="E296" t="s">
        <v>193</v>
      </c>
      <c r="F296" t="s">
        <v>16</v>
      </c>
      <c r="G296" t="s">
        <v>18</v>
      </c>
      <c r="H296">
        <v>4</v>
      </c>
      <c r="I296">
        <v>0</v>
      </c>
      <c r="J296">
        <v>0</v>
      </c>
      <c r="K296">
        <v>546</v>
      </c>
      <c r="L296">
        <v>522</v>
      </c>
      <c r="M296">
        <v>7.6628352490421452E-3</v>
      </c>
    </row>
    <row r="297" spans="1:13" x14ac:dyDescent="0.35">
      <c r="A297" t="s">
        <v>185</v>
      </c>
      <c r="B297" t="s">
        <v>13</v>
      </c>
      <c r="C297" t="s">
        <v>158</v>
      </c>
      <c r="D297" t="s">
        <v>146</v>
      </c>
      <c r="E297" t="s">
        <v>193</v>
      </c>
      <c r="F297" t="s">
        <v>16</v>
      </c>
      <c r="G297" t="s">
        <v>18</v>
      </c>
      <c r="H297">
        <v>10</v>
      </c>
      <c r="I297">
        <v>0</v>
      </c>
      <c r="J297">
        <v>1</v>
      </c>
      <c r="K297">
        <v>569</v>
      </c>
      <c r="L297">
        <v>569</v>
      </c>
      <c r="M297">
        <v>1.7574692442882251E-2</v>
      </c>
    </row>
    <row r="298" spans="1:13" x14ac:dyDescent="0.35">
      <c r="A298" t="s">
        <v>185</v>
      </c>
      <c r="B298" t="s">
        <v>13</v>
      </c>
      <c r="C298" t="s">
        <v>148</v>
      </c>
      <c r="D298" t="s">
        <v>146</v>
      </c>
      <c r="E298" t="s">
        <v>194</v>
      </c>
      <c r="F298" t="s">
        <v>16</v>
      </c>
      <c r="G298" t="s">
        <v>17</v>
      </c>
      <c r="H298">
        <v>8</v>
      </c>
      <c r="I298">
        <v>0</v>
      </c>
      <c r="J298">
        <v>2</v>
      </c>
      <c r="K298">
        <v>494</v>
      </c>
      <c r="L298">
        <v>484</v>
      </c>
      <c r="M298">
        <v>1.6528925619834711E-2</v>
      </c>
    </row>
    <row r="299" spans="1:13" x14ac:dyDescent="0.35">
      <c r="A299" t="s">
        <v>185</v>
      </c>
      <c r="B299" t="s">
        <v>13</v>
      </c>
      <c r="C299" t="s">
        <v>157</v>
      </c>
      <c r="D299" t="s">
        <v>146</v>
      </c>
      <c r="E299" t="s">
        <v>194</v>
      </c>
      <c r="F299" t="s">
        <v>16</v>
      </c>
      <c r="G299" t="s">
        <v>17</v>
      </c>
      <c r="H299">
        <v>3</v>
      </c>
      <c r="I299">
        <v>0</v>
      </c>
      <c r="J299">
        <v>0</v>
      </c>
      <c r="K299">
        <v>781</v>
      </c>
      <c r="L299">
        <v>781</v>
      </c>
      <c r="M299">
        <v>3.8412291933418692E-3</v>
      </c>
    </row>
    <row r="300" spans="1:13" x14ac:dyDescent="0.35">
      <c r="A300" t="s">
        <v>185</v>
      </c>
      <c r="B300" t="s">
        <v>13</v>
      </c>
      <c r="C300" t="s">
        <v>153</v>
      </c>
      <c r="D300" t="s">
        <v>146</v>
      </c>
      <c r="E300" t="s">
        <v>194</v>
      </c>
      <c r="F300" t="s">
        <v>16</v>
      </c>
      <c r="G300" t="s">
        <v>17</v>
      </c>
      <c r="H300">
        <v>0</v>
      </c>
      <c r="I300">
        <v>0</v>
      </c>
      <c r="J300">
        <v>0</v>
      </c>
      <c r="K300">
        <v>33</v>
      </c>
      <c r="L300">
        <v>33</v>
      </c>
      <c r="M300">
        <v>0</v>
      </c>
    </row>
    <row r="301" spans="1:13" x14ac:dyDescent="0.35">
      <c r="A301" t="s">
        <v>185</v>
      </c>
      <c r="B301" t="s">
        <v>13</v>
      </c>
      <c r="C301" t="s">
        <v>149</v>
      </c>
      <c r="D301" t="s">
        <v>146</v>
      </c>
      <c r="E301" t="s">
        <v>194</v>
      </c>
      <c r="F301" t="s">
        <v>16</v>
      </c>
      <c r="G301" t="s">
        <v>17</v>
      </c>
      <c r="H301">
        <v>6</v>
      </c>
      <c r="I301">
        <v>0</v>
      </c>
      <c r="J301">
        <v>0</v>
      </c>
      <c r="K301">
        <v>397</v>
      </c>
      <c r="L301">
        <v>384</v>
      </c>
      <c r="M301">
        <v>1.5625E-2</v>
      </c>
    </row>
    <row r="302" spans="1:13" x14ac:dyDescent="0.35">
      <c r="A302" t="s">
        <v>185</v>
      </c>
      <c r="B302" t="s">
        <v>13</v>
      </c>
      <c r="C302" t="s">
        <v>154</v>
      </c>
      <c r="D302" t="s">
        <v>146</v>
      </c>
      <c r="E302" t="s">
        <v>194</v>
      </c>
      <c r="F302" t="s">
        <v>16</v>
      </c>
      <c r="G302" t="s">
        <v>17</v>
      </c>
      <c r="H302">
        <v>0</v>
      </c>
      <c r="I302">
        <v>0</v>
      </c>
      <c r="J302">
        <v>0</v>
      </c>
      <c r="K302">
        <v>29</v>
      </c>
      <c r="L302">
        <v>22</v>
      </c>
      <c r="M302">
        <v>0</v>
      </c>
    </row>
    <row r="303" spans="1:13" x14ac:dyDescent="0.35">
      <c r="A303" t="s">
        <v>185</v>
      </c>
      <c r="B303" t="s">
        <v>13</v>
      </c>
      <c r="C303" t="s">
        <v>151</v>
      </c>
      <c r="D303" t="s">
        <v>146</v>
      </c>
      <c r="E303" t="s">
        <v>194</v>
      </c>
      <c r="F303" t="s">
        <v>16</v>
      </c>
      <c r="G303" t="s">
        <v>17</v>
      </c>
      <c r="H303">
        <v>2</v>
      </c>
      <c r="I303">
        <v>0</v>
      </c>
      <c r="J303">
        <v>0</v>
      </c>
      <c r="K303">
        <v>46</v>
      </c>
      <c r="L303">
        <v>42</v>
      </c>
      <c r="M303">
        <v>4.7619047619047616E-2</v>
      </c>
    </row>
    <row r="304" spans="1:13" x14ac:dyDescent="0.35">
      <c r="A304" t="s">
        <v>185</v>
      </c>
      <c r="B304" t="s">
        <v>13</v>
      </c>
      <c r="C304" t="s">
        <v>150</v>
      </c>
      <c r="D304" t="s">
        <v>146</v>
      </c>
      <c r="E304" t="s">
        <v>194</v>
      </c>
      <c r="F304" t="s">
        <v>16</v>
      </c>
      <c r="G304" t="s">
        <v>17</v>
      </c>
      <c r="H304">
        <v>0</v>
      </c>
      <c r="I304">
        <v>0</v>
      </c>
      <c r="J304">
        <v>0</v>
      </c>
      <c r="K304">
        <v>126</v>
      </c>
      <c r="L304">
        <v>125</v>
      </c>
      <c r="M304">
        <v>0</v>
      </c>
    </row>
    <row r="305" spans="1:13" x14ac:dyDescent="0.35">
      <c r="A305" t="s">
        <v>185</v>
      </c>
      <c r="B305" t="s">
        <v>13</v>
      </c>
      <c r="C305" t="s">
        <v>158</v>
      </c>
      <c r="D305" t="s">
        <v>146</v>
      </c>
      <c r="E305" t="s">
        <v>194</v>
      </c>
      <c r="F305" t="s">
        <v>16</v>
      </c>
      <c r="G305" t="s">
        <v>17</v>
      </c>
      <c r="H305">
        <v>7</v>
      </c>
      <c r="I305">
        <v>0</v>
      </c>
      <c r="J305">
        <v>3</v>
      </c>
      <c r="K305">
        <v>1069</v>
      </c>
      <c r="L305">
        <v>1066</v>
      </c>
      <c r="M305">
        <v>6.5666041275797378E-3</v>
      </c>
    </row>
    <row r="306" spans="1:13" x14ac:dyDescent="0.35">
      <c r="A306" t="s">
        <v>185</v>
      </c>
      <c r="B306" t="s">
        <v>13</v>
      </c>
      <c r="C306" t="s">
        <v>152</v>
      </c>
      <c r="D306" t="s">
        <v>146</v>
      </c>
      <c r="E306" t="s">
        <v>194</v>
      </c>
      <c r="F306" t="s">
        <v>16</v>
      </c>
      <c r="G306" t="s">
        <v>17</v>
      </c>
      <c r="H306">
        <v>1</v>
      </c>
      <c r="I306">
        <v>0</v>
      </c>
      <c r="J306">
        <v>1</v>
      </c>
      <c r="K306">
        <v>30</v>
      </c>
      <c r="L306">
        <v>29</v>
      </c>
      <c r="M306">
        <v>3.4482758620689655E-2</v>
      </c>
    </row>
    <row r="307" spans="1:13" x14ac:dyDescent="0.35">
      <c r="A307" t="s">
        <v>185</v>
      </c>
      <c r="B307" t="s">
        <v>13</v>
      </c>
      <c r="C307" t="s">
        <v>156</v>
      </c>
      <c r="D307" t="s">
        <v>146</v>
      </c>
      <c r="E307" t="s">
        <v>194</v>
      </c>
      <c r="F307" t="s">
        <v>16</v>
      </c>
      <c r="G307" t="s">
        <v>17</v>
      </c>
      <c r="H307">
        <v>3</v>
      </c>
      <c r="I307">
        <v>0</v>
      </c>
      <c r="J307">
        <v>1</v>
      </c>
      <c r="K307">
        <v>48</v>
      </c>
      <c r="L307">
        <v>43</v>
      </c>
      <c r="M307">
        <v>6.9767441860465115E-2</v>
      </c>
    </row>
    <row r="308" spans="1:13" x14ac:dyDescent="0.35">
      <c r="A308" t="s">
        <v>185</v>
      </c>
      <c r="B308" t="s">
        <v>13</v>
      </c>
      <c r="C308" t="s">
        <v>155</v>
      </c>
      <c r="D308" t="s">
        <v>146</v>
      </c>
      <c r="E308" t="s">
        <v>194</v>
      </c>
      <c r="F308" t="s">
        <v>16</v>
      </c>
      <c r="G308" t="s">
        <v>17</v>
      </c>
      <c r="H308">
        <v>2</v>
      </c>
      <c r="I308">
        <v>0</v>
      </c>
      <c r="J308">
        <v>1</v>
      </c>
      <c r="K308">
        <v>200</v>
      </c>
      <c r="L308">
        <v>200</v>
      </c>
      <c r="M308">
        <v>0.01</v>
      </c>
    </row>
    <row r="309" spans="1:13" x14ac:dyDescent="0.35">
      <c r="A309" t="s">
        <v>185</v>
      </c>
      <c r="B309" t="s">
        <v>13</v>
      </c>
      <c r="C309" t="s">
        <v>149</v>
      </c>
      <c r="D309" t="s">
        <v>146</v>
      </c>
      <c r="E309" t="s">
        <v>195</v>
      </c>
      <c r="F309" t="s">
        <v>16</v>
      </c>
      <c r="G309" t="s">
        <v>17</v>
      </c>
      <c r="H309">
        <v>4</v>
      </c>
      <c r="I309">
        <v>0</v>
      </c>
      <c r="J309">
        <v>0</v>
      </c>
      <c r="K309">
        <v>311</v>
      </c>
      <c r="L309">
        <v>303</v>
      </c>
      <c r="M309">
        <v>1.3201320132013201E-2</v>
      </c>
    </row>
    <row r="310" spans="1:13" x14ac:dyDescent="0.35">
      <c r="A310" t="s">
        <v>185</v>
      </c>
      <c r="B310" t="s">
        <v>13</v>
      </c>
      <c r="C310" t="s">
        <v>150</v>
      </c>
      <c r="D310" t="s">
        <v>146</v>
      </c>
      <c r="E310" t="s">
        <v>195</v>
      </c>
      <c r="F310" t="s">
        <v>16</v>
      </c>
      <c r="G310" t="s">
        <v>17</v>
      </c>
      <c r="H310">
        <v>1</v>
      </c>
      <c r="I310">
        <v>0</v>
      </c>
      <c r="J310">
        <v>0</v>
      </c>
      <c r="K310">
        <v>62</v>
      </c>
      <c r="L310">
        <v>61</v>
      </c>
      <c r="M310">
        <v>1.6393442622950821E-2</v>
      </c>
    </row>
    <row r="311" spans="1:13" x14ac:dyDescent="0.35">
      <c r="A311" t="s">
        <v>185</v>
      </c>
      <c r="B311" t="s">
        <v>13</v>
      </c>
      <c r="C311" t="s">
        <v>151</v>
      </c>
      <c r="D311" t="s">
        <v>146</v>
      </c>
      <c r="E311" t="s">
        <v>195</v>
      </c>
      <c r="F311" t="s">
        <v>16</v>
      </c>
      <c r="G311" t="s">
        <v>17</v>
      </c>
      <c r="H311">
        <v>176204</v>
      </c>
      <c r="I311">
        <v>0</v>
      </c>
      <c r="J311">
        <v>12</v>
      </c>
      <c r="K311">
        <v>673826</v>
      </c>
      <c r="L311">
        <v>661438</v>
      </c>
      <c r="M311">
        <v>0.26639533864096104</v>
      </c>
    </row>
    <row r="312" spans="1:13" x14ac:dyDescent="0.35">
      <c r="A312" t="s">
        <v>185</v>
      </c>
      <c r="B312" t="s">
        <v>13</v>
      </c>
      <c r="C312" t="s">
        <v>152</v>
      </c>
      <c r="D312" t="s">
        <v>146</v>
      </c>
      <c r="E312" t="s">
        <v>195</v>
      </c>
      <c r="F312" t="s">
        <v>16</v>
      </c>
      <c r="G312" t="s">
        <v>17</v>
      </c>
      <c r="H312">
        <v>5</v>
      </c>
      <c r="I312">
        <v>0</v>
      </c>
      <c r="J312">
        <v>2</v>
      </c>
      <c r="K312">
        <v>18</v>
      </c>
      <c r="L312">
        <v>17</v>
      </c>
      <c r="M312">
        <v>0.29411764705882354</v>
      </c>
    </row>
    <row r="313" spans="1:13" x14ac:dyDescent="0.35">
      <c r="A313" t="s">
        <v>185</v>
      </c>
      <c r="B313" t="s">
        <v>13</v>
      </c>
      <c r="C313" t="s">
        <v>153</v>
      </c>
      <c r="D313" t="s">
        <v>146</v>
      </c>
      <c r="E313" t="s">
        <v>195</v>
      </c>
      <c r="F313" t="s">
        <v>16</v>
      </c>
      <c r="G313" t="s">
        <v>17</v>
      </c>
      <c r="H313">
        <v>310752</v>
      </c>
      <c r="I313">
        <v>0</v>
      </c>
      <c r="J313">
        <v>3</v>
      </c>
      <c r="K313">
        <v>781817</v>
      </c>
      <c r="L313">
        <v>781817</v>
      </c>
      <c r="M313">
        <v>0.39747408920501859</v>
      </c>
    </row>
    <row r="314" spans="1:13" x14ac:dyDescent="0.35">
      <c r="A314" t="s">
        <v>185</v>
      </c>
      <c r="B314" t="s">
        <v>13</v>
      </c>
      <c r="C314" t="s">
        <v>154</v>
      </c>
      <c r="D314" t="s">
        <v>146</v>
      </c>
      <c r="E314" t="s">
        <v>195</v>
      </c>
      <c r="F314" t="s">
        <v>16</v>
      </c>
      <c r="G314" t="s">
        <v>17</v>
      </c>
      <c r="H314">
        <v>76171</v>
      </c>
      <c r="I314">
        <v>0</v>
      </c>
      <c r="J314">
        <v>5</v>
      </c>
      <c r="K314">
        <v>361399</v>
      </c>
      <c r="L314">
        <v>361399</v>
      </c>
      <c r="M314">
        <v>0.21076704694810999</v>
      </c>
    </row>
    <row r="315" spans="1:13" x14ac:dyDescent="0.35">
      <c r="A315" t="s">
        <v>185</v>
      </c>
      <c r="B315" t="s">
        <v>13</v>
      </c>
      <c r="C315" t="s">
        <v>148</v>
      </c>
      <c r="D315" t="s">
        <v>146</v>
      </c>
      <c r="E315" t="s">
        <v>195</v>
      </c>
      <c r="F315" t="s">
        <v>16</v>
      </c>
      <c r="G315" t="s">
        <v>17</v>
      </c>
      <c r="H315">
        <v>15</v>
      </c>
      <c r="I315">
        <v>0</v>
      </c>
      <c r="J315">
        <v>3</v>
      </c>
      <c r="K315">
        <v>312</v>
      </c>
      <c r="L315">
        <v>299</v>
      </c>
      <c r="M315">
        <v>5.016722408026756E-2</v>
      </c>
    </row>
    <row r="316" spans="1:13" x14ac:dyDescent="0.35">
      <c r="A316" t="s">
        <v>185</v>
      </c>
      <c r="B316" t="s">
        <v>13</v>
      </c>
      <c r="C316" t="s">
        <v>155</v>
      </c>
      <c r="D316" t="s">
        <v>146</v>
      </c>
      <c r="E316" t="s">
        <v>195</v>
      </c>
      <c r="F316" t="s">
        <v>16</v>
      </c>
      <c r="G316" t="s">
        <v>17</v>
      </c>
      <c r="H316">
        <v>0</v>
      </c>
      <c r="I316">
        <v>0</v>
      </c>
      <c r="J316">
        <v>0</v>
      </c>
      <c r="K316">
        <v>64</v>
      </c>
      <c r="L316">
        <v>64</v>
      </c>
      <c r="M316">
        <v>0</v>
      </c>
    </row>
    <row r="317" spans="1:13" x14ac:dyDescent="0.35">
      <c r="A317" t="s">
        <v>185</v>
      </c>
      <c r="B317" t="s">
        <v>13</v>
      </c>
      <c r="C317" t="s">
        <v>156</v>
      </c>
      <c r="D317" t="s">
        <v>146</v>
      </c>
      <c r="E317" t="s">
        <v>195</v>
      </c>
      <c r="F317" t="s">
        <v>16</v>
      </c>
      <c r="G317" t="s">
        <v>17</v>
      </c>
      <c r="H317">
        <v>22169</v>
      </c>
      <c r="I317">
        <v>0</v>
      </c>
      <c r="J317">
        <v>1</v>
      </c>
      <c r="K317">
        <v>164465</v>
      </c>
      <c r="L317">
        <v>163974</v>
      </c>
      <c r="M317">
        <v>0.13519826313927819</v>
      </c>
    </row>
    <row r="318" spans="1:13" x14ac:dyDescent="0.35">
      <c r="A318" t="s">
        <v>185</v>
      </c>
      <c r="B318" t="s">
        <v>13</v>
      </c>
      <c r="C318" t="s">
        <v>157</v>
      </c>
      <c r="D318" t="s">
        <v>146</v>
      </c>
      <c r="E318" t="s">
        <v>195</v>
      </c>
      <c r="F318" t="s">
        <v>16</v>
      </c>
      <c r="G318" t="s">
        <v>17</v>
      </c>
      <c r="H318">
        <v>3</v>
      </c>
      <c r="I318">
        <v>0</v>
      </c>
      <c r="J318">
        <v>0</v>
      </c>
      <c r="K318">
        <v>629</v>
      </c>
      <c r="L318">
        <v>607</v>
      </c>
      <c r="M318">
        <v>4.9423393739703456E-3</v>
      </c>
    </row>
    <row r="319" spans="1:13" x14ac:dyDescent="0.35">
      <c r="A319" t="s">
        <v>185</v>
      </c>
      <c r="B319" t="s">
        <v>13</v>
      </c>
      <c r="C319" t="s">
        <v>158</v>
      </c>
      <c r="D319" t="s">
        <v>146</v>
      </c>
      <c r="E319" t="s">
        <v>195</v>
      </c>
      <c r="F319" t="s">
        <v>16</v>
      </c>
      <c r="G319" t="s">
        <v>17</v>
      </c>
      <c r="H319">
        <v>9</v>
      </c>
      <c r="I319">
        <v>0</v>
      </c>
      <c r="J319">
        <v>2</v>
      </c>
      <c r="K319">
        <v>667</v>
      </c>
      <c r="L319">
        <v>658</v>
      </c>
      <c r="M319">
        <v>1.3677811550151976E-2</v>
      </c>
    </row>
    <row r="320" spans="1:13" x14ac:dyDescent="0.35">
      <c r="A320" t="s">
        <v>185</v>
      </c>
      <c r="B320" t="s">
        <v>13</v>
      </c>
      <c r="C320" t="s">
        <v>149</v>
      </c>
      <c r="D320" t="s">
        <v>146</v>
      </c>
      <c r="E320" t="s">
        <v>196</v>
      </c>
      <c r="F320" t="s">
        <v>16</v>
      </c>
      <c r="G320" t="s">
        <v>17</v>
      </c>
      <c r="H320">
        <v>0</v>
      </c>
      <c r="I320">
        <v>0</v>
      </c>
      <c r="J320">
        <v>0</v>
      </c>
      <c r="K320">
        <v>221</v>
      </c>
      <c r="L320">
        <v>212</v>
      </c>
      <c r="M320">
        <v>0</v>
      </c>
    </row>
    <row r="321" spans="1:13" x14ac:dyDescent="0.35">
      <c r="A321" t="s">
        <v>185</v>
      </c>
      <c r="B321" t="s">
        <v>13</v>
      </c>
      <c r="C321" t="s">
        <v>150</v>
      </c>
      <c r="D321" t="s">
        <v>146</v>
      </c>
      <c r="E321" t="s">
        <v>196</v>
      </c>
      <c r="F321" t="s">
        <v>16</v>
      </c>
      <c r="G321" t="s">
        <v>17</v>
      </c>
      <c r="H321">
        <v>4</v>
      </c>
      <c r="I321">
        <v>0</v>
      </c>
      <c r="J321">
        <v>0</v>
      </c>
      <c r="K321">
        <v>70</v>
      </c>
      <c r="L321">
        <v>70</v>
      </c>
      <c r="M321">
        <v>5.7142857142857141E-2</v>
      </c>
    </row>
    <row r="322" spans="1:13" x14ac:dyDescent="0.35">
      <c r="A322" t="s">
        <v>185</v>
      </c>
      <c r="B322" t="s">
        <v>13</v>
      </c>
      <c r="C322" t="s">
        <v>152</v>
      </c>
      <c r="D322" t="s">
        <v>146</v>
      </c>
      <c r="E322" t="s">
        <v>196</v>
      </c>
      <c r="F322" t="s">
        <v>16</v>
      </c>
      <c r="G322" t="s">
        <v>17</v>
      </c>
      <c r="H322">
        <v>5</v>
      </c>
      <c r="I322">
        <v>0</v>
      </c>
      <c r="J322">
        <v>3</v>
      </c>
      <c r="K322">
        <v>32</v>
      </c>
      <c r="L322">
        <v>30</v>
      </c>
      <c r="M322">
        <v>0.16666666666666666</v>
      </c>
    </row>
    <row r="323" spans="1:13" x14ac:dyDescent="0.35">
      <c r="A323" t="s">
        <v>185</v>
      </c>
      <c r="B323" t="s">
        <v>13</v>
      </c>
      <c r="C323" t="s">
        <v>148</v>
      </c>
      <c r="D323" t="s">
        <v>146</v>
      </c>
      <c r="E323" t="s">
        <v>196</v>
      </c>
      <c r="F323" t="s">
        <v>16</v>
      </c>
      <c r="G323" t="s">
        <v>17</v>
      </c>
      <c r="H323">
        <v>16</v>
      </c>
      <c r="I323">
        <v>0</v>
      </c>
      <c r="J323">
        <v>3</v>
      </c>
      <c r="K323">
        <v>488</v>
      </c>
      <c r="L323">
        <v>459</v>
      </c>
      <c r="M323">
        <v>3.4858387799564274E-2</v>
      </c>
    </row>
    <row r="324" spans="1:13" x14ac:dyDescent="0.35">
      <c r="A324" t="s">
        <v>185</v>
      </c>
      <c r="B324" t="s">
        <v>13</v>
      </c>
      <c r="C324" t="s">
        <v>155</v>
      </c>
      <c r="D324" t="s">
        <v>146</v>
      </c>
      <c r="E324" t="s">
        <v>196</v>
      </c>
      <c r="F324" t="s">
        <v>16</v>
      </c>
      <c r="G324" t="s">
        <v>17</v>
      </c>
      <c r="H324">
        <v>1</v>
      </c>
      <c r="I324">
        <v>0</v>
      </c>
      <c r="J324">
        <v>1</v>
      </c>
      <c r="K324">
        <v>180</v>
      </c>
      <c r="L324">
        <v>180</v>
      </c>
      <c r="M324">
        <v>5.5555555555555558E-3</v>
      </c>
    </row>
    <row r="325" spans="1:13" x14ac:dyDescent="0.35">
      <c r="A325" t="s">
        <v>185</v>
      </c>
      <c r="B325" t="s">
        <v>13</v>
      </c>
      <c r="C325" t="s">
        <v>157</v>
      </c>
      <c r="D325" t="s">
        <v>146</v>
      </c>
      <c r="E325" t="s">
        <v>196</v>
      </c>
      <c r="F325" t="s">
        <v>16</v>
      </c>
      <c r="G325" t="s">
        <v>17</v>
      </c>
      <c r="H325">
        <v>6</v>
      </c>
      <c r="I325">
        <v>0</v>
      </c>
      <c r="J325">
        <v>0</v>
      </c>
      <c r="K325">
        <v>726</v>
      </c>
      <c r="L325">
        <v>713</v>
      </c>
      <c r="M325">
        <v>8.4151472650771386E-3</v>
      </c>
    </row>
    <row r="326" spans="1:13" x14ac:dyDescent="0.35">
      <c r="A326" t="s">
        <v>185</v>
      </c>
      <c r="B326" t="s">
        <v>13</v>
      </c>
      <c r="C326" t="s">
        <v>158</v>
      </c>
      <c r="D326" t="s">
        <v>146</v>
      </c>
      <c r="E326" t="s">
        <v>196</v>
      </c>
      <c r="F326" t="s">
        <v>16</v>
      </c>
      <c r="G326" t="s">
        <v>17</v>
      </c>
      <c r="H326">
        <v>11</v>
      </c>
      <c r="I326">
        <v>0</v>
      </c>
      <c r="J326">
        <v>4</v>
      </c>
      <c r="K326">
        <v>1009</v>
      </c>
      <c r="L326">
        <v>1003</v>
      </c>
      <c r="M326">
        <v>1.0967098703888335E-2</v>
      </c>
    </row>
    <row r="327" spans="1:13" x14ac:dyDescent="0.35">
      <c r="A327" t="s">
        <v>185</v>
      </c>
      <c r="B327" t="s">
        <v>36</v>
      </c>
      <c r="C327" t="s">
        <v>151</v>
      </c>
      <c r="D327" t="s">
        <v>146</v>
      </c>
      <c r="E327" t="s">
        <v>186</v>
      </c>
      <c r="F327" t="s">
        <v>19</v>
      </c>
      <c r="G327" t="s">
        <v>18</v>
      </c>
      <c r="H327">
        <v>1</v>
      </c>
      <c r="I327">
        <v>1</v>
      </c>
      <c r="J327">
        <v>0</v>
      </c>
      <c r="K327">
        <v>14</v>
      </c>
      <c r="L327">
        <v>14</v>
      </c>
      <c r="M327">
        <v>7.1428571428571425E-2</v>
      </c>
    </row>
    <row r="328" spans="1:13" x14ac:dyDescent="0.35">
      <c r="A328" t="s">
        <v>185</v>
      </c>
      <c r="B328" t="s">
        <v>36</v>
      </c>
      <c r="C328" t="s">
        <v>152</v>
      </c>
      <c r="D328" t="s">
        <v>146</v>
      </c>
      <c r="E328" t="s">
        <v>186</v>
      </c>
      <c r="F328" t="s">
        <v>19</v>
      </c>
      <c r="G328" t="s">
        <v>18</v>
      </c>
      <c r="H328">
        <v>9</v>
      </c>
      <c r="I328">
        <v>9</v>
      </c>
      <c r="J328">
        <v>0</v>
      </c>
      <c r="K328">
        <v>56</v>
      </c>
      <c r="L328">
        <v>48</v>
      </c>
      <c r="M328">
        <v>0.1875</v>
      </c>
    </row>
    <row r="329" spans="1:13" x14ac:dyDescent="0.35">
      <c r="A329" t="s">
        <v>185</v>
      </c>
      <c r="B329" t="s">
        <v>36</v>
      </c>
      <c r="C329" t="s">
        <v>154</v>
      </c>
      <c r="D329" t="s">
        <v>146</v>
      </c>
      <c r="E329" t="s">
        <v>186</v>
      </c>
      <c r="F329" t="s">
        <v>19</v>
      </c>
      <c r="G329" t="s">
        <v>18</v>
      </c>
      <c r="H329">
        <v>1</v>
      </c>
      <c r="I329">
        <v>1</v>
      </c>
      <c r="J329">
        <v>0</v>
      </c>
      <c r="K329">
        <v>16</v>
      </c>
      <c r="L329">
        <v>15</v>
      </c>
      <c r="M329">
        <v>6.6666666666666666E-2</v>
      </c>
    </row>
    <row r="330" spans="1:13" x14ac:dyDescent="0.35">
      <c r="A330" t="s">
        <v>185</v>
      </c>
      <c r="B330" t="s">
        <v>36</v>
      </c>
      <c r="C330" t="s">
        <v>155</v>
      </c>
      <c r="D330" t="s">
        <v>146</v>
      </c>
      <c r="E330" t="s">
        <v>186</v>
      </c>
      <c r="F330" t="s">
        <v>19</v>
      </c>
      <c r="G330" t="s">
        <v>18</v>
      </c>
      <c r="H330">
        <v>2</v>
      </c>
      <c r="I330">
        <v>2</v>
      </c>
      <c r="J330">
        <v>0</v>
      </c>
      <c r="K330">
        <v>7</v>
      </c>
      <c r="L330">
        <v>7</v>
      </c>
      <c r="M330">
        <v>0.2857142857142857</v>
      </c>
    </row>
    <row r="331" spans="1:13" x14ac:dyDescent="0.35">
      <c r="A331" t="s">
        <v>185</v>
      </c>
      <c r="B331" t="s">
        <v>36</v>
      </c>
      <c r="C331" t="s">
        <v>156</v>
      </c>
      <c r="D331" t="s">
        <v>146</v>
      </c>
      <c r="E331" t="s">
        <v>186</v>
      </c>
      <c r="F331" t="s">
        <v>19</v>
      </c>
      <c r="G331" t="s">
        <v>18</v>
      </c>
      <c r="H331">
        <v>2</v>
      </c>
      <c r="I331">
        <v>2</v>
      </c>
      <c r="J331">
        <v>0</v>
      </c>
      <c r="K331">
        <v>13</v>
      </c>
      <c r="L331">
        <v>13</v>
      </c>
      <c r="M331">
        <v>0.15384615384615385</v>
      </c>
    </row>
    <row r="332" spans="1:13" x14ac:dyDescent="0.35">
      <c r="A332" t="s">
        <v>185</v>
      </c>
      <c r="B332" t="s">
        <v>36</v>
      </c>
      <c r="C332" t="s">
        <v>158</v>
      </c>
      <c r="D332" t="s">
        <v>146</v>
      </c>
      <c r="E332" t="s">
        <v>186</v>
      </c>
      <c r="F332" t="s">
        <v>19</v>
      </c>
      <c r="G332" t="s">
        <v>18</v>
      </c>
      <c r="H332">
        <v>4</v>
      </c>
      <c r="I332">
        <v>4</v>
      </c>
      <c r="J332">
        <v>0</v>
      </c>
      <c r="K332">
        <v>48</v>
      </c>
      <c r="L332">
        <v>48</v>
      </c>
      <c r="M332">
        <v>8.3333333333333329E-2</v>
      </c>
    </row>
    <row r="333" spans="1:13" x14ac:dyDescent="0.35">
      <c r="A333" t="s">
        <v>185</v>
      </c>
      <c r="B333" t="s">
        <v>36</v>
      </c>
      <c r="C333" t="s">
        <v>157</v>
      </c>
      <c r="D333" t="s">
        <v>146</v>
      </c>
      <c r="E333" t="s">
        <v>186</v>
      </c>
      <c r="F333" t="s">
        <v>19</v>
      </c>
      <c r="G333" t="s">
        <v>18</v>
      </c>
      <c r="H333">
        <v>1</v>
      </c>
      <c r="I333">
        <v>1</v>
      </c>
      <c r="J333">
        <v>0</v>
      </c>
      <c r="K333">
        <v>11</v>
      </c>
      <c r="L333">
        <v>10</v>
      </c>
      <c r="M333">
        <v>0.1</v>
      </c>
    </row>
    <row r="334" spans="1:13" x14ac:dyDescent="0.35">
      <c r="A334" t="s">
        <v>185</v>
      </c>
      <c r="B334" t="s">
        <v>36</v>
      </c>
      <c r="C334" t="s">
        <v>150</v>
      </c>
      <c r="D334" t="s">
        <v>146</v>
      </c>
      <c r="E334" t="s">
        <v>186</v>
      </c>
      <c r="F334" t="s">
        <v>19</v>
      </c>
      <c r="G334" t="s">
        <v>18</v>
      </c>
      <c r="H334">
        <v>3</v>
      </c>
      <c r="I334">
        <v>3</v>
      </c>
      <c r="J334">
        <v>0</v>
      </c>
      <c r="K334">
        <v>23</v>
      </c>
      <c r="L334">
        <v>21</v>
      </c>
      <c r="M334">
        <v>0.14285714285714285</v>
      </c>
    </row>
    <row r="335" spans="1:13" x14ac:dyDescent="0.35">
      <c r="A335" t="s">
        <v>185</v>
      </c>
      <c r="B335" t="s">
        <v>36</v>
      </c>
      <c r="C335" t="s">
        <v>148</v>
      </c>
      <c r="D335" t="s">
        <v>146</v>
      </c>
      <c r="E335" t="s">
        <v>186</v>
      </c>
      <c r="F335" t="s">
        <v>19</v>
      </c>
      <c r="G335" t="s">
        <v>18</v>
      </c>
      <c r="H335">
        <v>7</v>
      </c>
      <c r="I335">
        <v>7</v>
      </c>
      <c r="J335">
        <v>0</v>
      </c>
      <c r="K335">
        <v>85</v>
      </c>
      <c r="L335">
        <v>83</v>
      </c>
      <c r="M335">
        <v>8.4337349397590355E-2</v>
      </c>
    </row>
    <row r="336" spans="1:13" x14ac:dyDescent="0.35">
      <c r="A336" t="s">
        <v>185</v>
      </c>
      <c r="B336" t="s">
        <v>36</v>
      </c>
      <c r="C336" t="s">
        <v>153</v>
      </c>
      <c r="D336" t="s">
        <v>146</v>
      </c>
      <c r="E336" t="s">
        <v>186</v>
      </c>
      <c r="F336" t="s">
        <v>19</v>
      </c>
      <c r="G336" t="s">
        <v>18</v>
      </c>
      <c r="H336">
        <v>1</v>
      </c>
      <c r="I336">
        <v>1</v>
      </c>
      <c r="J336">
        <v>0</v>
      </c>
      <c r="K336">
        <v>6</v>
      </c>
      <c r="L336">
        <v>6</v>
      </c>
      <c r="M336">
        <v>0.16666666666666666</v>
      </c>
    </row>
    <row r="337" spans="1:13" x14ac:dyDescent="0.35">
      <c r="A337" t="s">
        <v>185</v>
      </c>
      <c r="B337" t="s">
        <v>36</v>
      </c>
      <c r="C337" t="s">
        <v>145</v>
      </c>
      <c r="D337" t="s">
        <v>162</v>
      </c>
      <c r="E337" t="s">
        <v>187</v>
      </c>
      <c r="F337" t="s">
        <v>21</v>
      </c>
      <c r="G337" t="s">
        <v>181</v>
      </c>
      <c r="H337">
        <v>5</v>
      </c>
      <c r="I337">
        <v>5</v>
      </c>
      <c r="J337">
        <v>0</v>
      </c>
      <c r="K337">
        <v>32</v>
      </c>
      <c r="L337">
        <v>26</v>
      </c>
      <c r="M337">
        <v>0.19230769230769232</v>
      </c>
    </row>
    <row r="338" spans="1:13" x14ac:dyDescent="0.35">
      <c r="A338" t="s">
        <v>185</v>
      </c>
      <c r="B338" t="s">
        <v>36</v>
      </c>
      <c r="C338" t="s">
        <v>153</v>
      </c>
      <c r="D338" t="s">
        <v>146</v>
      </c>
      <c r="E338" t="s">
        <v>187</v>
      </c>
      <c r="F338" t="s">
        <v>19</v>
      </c>
      <c r="G338" t="s">
        <v>18</v>
      </c>
      <c r="H338">
        <v>0</v>
      </c>
      <c r="I338">
        <v>0</v>
      </c>
      <c r="J338">
        <v>0</v>
      </c>
      <c r="K338">
        <v>5</v>
      </c>
      <c r="L338">
        <v>5</v>
      </c>
      <c r="M338">
        <v>0</v>
      </c>
    </row>
    <row r="339" spans="1:13" x14ac:dyDescent="0.35">
      <c r="A339" t="s">
        <v>185</v>
      </c>
      <c r="B339" t="s">
        <v>36</v>
      </c>
      <c r="C339" t="s">
        <v>150</v>
      </c>
      <c r="D339" t="s">
        <v>146</v>
      </c>
      <c r="E339" t="s">
        <v>187</v>
      </c>
      <c r="F339" t="s">
        <v>19</v>
      </c>
      <c r="G339" t="s">
        <v>18</v>
      </c>
      <c r="H339">
        <v>2</v>
      </c>
      <c r="I339">
        <v>2</v>
      </c>
      <c r="J339">
        <v>0</v>
      </c>
      <c r="K339">
        <v>10</v>
      </c>
      <c r="L339">
        <v>8</v>
      </c>
      <c r="M339">
        <v>0.25</v>
      </c>
    </row>
    <row r="340" spans="1:13" x14ac:dyDescent="0.35">
      <c r="A340" t="s">
        <v>185</v>
      </c>
      <c r="B340" t="s">
        <v>36</v>
      </c>
      <c r="C340" t="s">
        <v>151</v>
      </c>
      <c r="D340" t="s">
        <v>146</v>
      </c>
      <c r="E340" t="s">
        <v>187</v>
      </c>
      <c r="F340" t="s">
        <v>19</v>
      </c>
      <c r="G340" t="s">
        <v>18</v>
      </c>
      <c r="H340">
        <v>0</v>
      </c>
      <c r="I340">
        <v>0</v>
      </c>
      <c r="J340">
        <v>0</v>
      </c>
      <c r="K340">
        <v>16</v>
      </c>
      <c r="L340">
        <v>15</v>
      </c>
      <c r="M340">
        <v>0</v>
      </c>
    </row>
    <row r="341" spans="1:13" x14ac:dyDescent="0.35">
      <c r="A341" t="s">
        <v>185</v>
      </c>
      <c r="B341" t="s">
        <v>36</v>
      </c>
      <c r="C341" t="s">
        <v>152</v>
      </c>
      <c r="D341" t="s">
        <v>146</v>
      </c>
      <c r="E341" t="s">
        <v>187</v>
      </c>
      <c r="F341" t="s">
        <v>19</v>
      </c>
      <c r="G341" t="s">
        <v>18</v>
      </c>
      <c r="H341">
        <v>10</v>
      </c>
      <c r="I341">
        <v>10</v>
      </c>
      <c r="J341">
        <v>0</v>
      </c>
      <c r="K341">
        <v>70</v>
      </c>
      <c r="L341">
        <v>66</v>
      </c>
      <c r="M341">
        <v>0.15151515151515152</v>
      </c>
    </row>
    <row r="342" spans="1:13" x14ac:dyDescent="0.35">
      <c r="A342" t="s">
        <v>185</v>
      </c>
      <c r="B342" t="s">
        <v>36</v>
      </c>
      <c r="C342" t="s">
        <v>154</v>
      </c>
      <c r="D342" t="s">
        <v>146</v>
      </c>
      <c r="E342" t="s">
        <v>187</v>
      </c>
      <c r="F342" t="s">
        <v>19</v>
      </c>
      <c r="G342" t="s">
        <v>18</v>
      </c>
      <c r="H342">
        <v>1</v>
      </c>
      <c r="I342">
        <v>1</v>
      </c>
      <c r="J342">
        <v>0</v>
      </c>
      <c r="K342">
        <v>14</v>
      </c>
      <c r="L342">
        <v>14</v>
      </c>
      <c r="M342">
        <v>7.1428571428571425E-2</v>
      </c>
    </row>
    <row r="343" spans="1:13" x14ac:dyDescent="0.35">
      <c r="A343" t="s">
        <v>185</v>
      </c>
      <c r="B343" t="s">
        <v>36</v>
      </c>
      <c r="C343" t="s">
        <v>148</v>
      </c>
      <c r="D343" t="s">
        <v>146</v>
      </c>
      <c r="E343" t="s">
        <v>187</v>
      </c>
      <c r="F343" t="s">
        <v>19</v>
      </c>
      <c r="G343" t="s">
        <v>18</v>
      </c>
      <c r="H343">
        <v>11</v>
      </c>
      <c r="I343">
        <v>11</v>
      </c>
      <c r="J343">
        <v>0</v>
      </c>
      <c r="K343">
        <v>135</v>
      </c>
      <c r="L343">
        <v>126</v>
      </c>
      <c r="M343">
        <v>8.7301587301587297E-2</v>
      </c>
    </row>
    <row r="344" spans="1:13" x14ac:dyDescent="0.35">
      <c r="A344" t="s">
        <v>185</v>
      </c>
      <c r="B344" t="s">
        <v>36</v>
      </c>
      <c r="C344" t="s">
        <v>155</v>
      </c>
      <c r="D344" t="s">
        <v>146</v>
      </c>
      <c r="E344" t="s">
        <v>187</v>
      </c>
      <c r="F344" t="s">
        <v>19</v>
      </c>
      <c r="G344" t="s">
        <v>18</v>
      </c>
      <c r="H344">
        <v>0</v>
      </c>
      <c r="I344">
        <v>0</v>
      </c>
      <c r="J344">
        <v>0</v>
      </c>
      <c r="K344">
        <v>7</v>
      </c>
      <c r="L344">
        <v>7</v>
      </c>
      <c r="M344">
        <v>0</v>
      </c>
    </row>
    <row r="345" spans="1:13" x14ac:dyDescent="0.35">
      <c r="A345" t="s">
        <v>185</v>
      </c>
      <c r="B345" t="s">
        <v>36</v>
      </c>
      <c r="C345" t="s">
        <v>156</v>
      </c>
      <c r="D345" t="s">
        <v>146</v>
      </c>
      <c r="E345" t="s">
        <v>187</v>
      </c>
      <c r="F345" t="s">
        <v>19</v>
      </c>
      <c r="G345" t="s">
        <v>18</v>
      </c>
      <c r="H345">
        <v>1</v>
      </c>
      <c r="I345">
        <v>1</v>
      </c>
      <c r="J345">
        <v>0</v>
      </c>
      <c r="K345">
        <v>13</v>
      </c>
      <c r="L345">
        <v>13</v>
      </c>
      <c r="M345">
        <v>7.6923076923076927E-2</v>
      </c>
    </row>
    <row r="346" spans="1:13" x14ac:dyDescent="0.35">
      <c r="A346" t="s">
        <v>185</v>
      </c>
      <c r="B346" t="s">
        <v>36</v>
      </c>
      <c r="C346" t="s">
        <v>157</v>
      </c>
      <c r="D346" t="s">
        <v>146</v>
      </c>
      <c r="E346" t="s">
        <v>187</v>
      </c>
      <c r="F346" t="s">
        <v>19</v>
      </c>
      <c r="G346" t="s">
        <v>18</v>
      </c>
      <c r="H346">
        <v>0</v>
      </c>
      <c r="I346">
        <v>0</v>
      </c>
      <c r="J346">
        <v>0</v>
      </c>
      <c r="K346">
        <v>6</v>
      </c>
      <c r="L346">
        <v>6</v>
      </c>
      <c r="M346">
        <v>0</v>
      </c>
    </row>
    <row r="347" spans="1:13" x14ac:dyDescent="0.35">
      <c r="A347" t="s">
        <v>185</v>
      </c>
      <c r="B347" t="s">
        <v>36</v>
      </c>
      <c r="C347" t="s">
        <v>158</v>
      </c>
      <c r="D347" t="s">
        <v>146</v>
      </c>
      <c r="E347" t="s">
        <v>187</v>
      </c>
      <c r="F347" t="s">
        <v>19</v>
      </c>
      <c r="G347" t="s">
        <v>18</v>
      </c>
      <c r="H347">
        <v>3</v>
      </c>
      <c r="I347">
        <v>3</v>
      </c>
      <c r="J347">
        <v>0</v>
      </c>
      <c r="K347">
        <v>38</v>
      </c>
      <c r="L347">
        <v>38</v>
      </c>
      <c r="M347">
        <v>7.8947368421052627E-2</v>
      </c>
    </row>
    <row r="348" spans="1:13" x14ac:dyDescent="0.35">
      <c r="A348" t="s">
        <v>185</v>
      </c>
      <c r="B348" t="s">
        <v>36</v>
      </c>
      <c r="C348" t="s">
        <v>150</v>
      </c>
      <c r="D348" t="s">
        <v>146</v>
      </c>
      <c r="E348" t="s">
        <v>192</v>
      </c>
      <c r="F348" t="s">
        <v>16</v>
      </c>
      <c r="G348" t="s">
        <v>18</v>
      </c>
      <c r="H348">
        <v>3</v>
      </c>
      <c r="I348">
        <v>3</v>
      </c>
      <c r="J348">
        <v>0</v>
      </c>
      <c r="K348">
        <v>12</v>
      </c>
      <c r="L348">
        <v>9</v>
      </c>
      <c r="M348">
        <v>0.33333333333333331</v>
      </c>
    </row>
    <row r="349" spans="1:13" x14ac:dyDescent="0.35">
      <c r="A349" t="s">
        <v>185</v>
      </c>
      <c r="B349" t="s">
        <v>36</v>
      </c>
      <c r="C349" t="s">
        <v>148</v>
      </c>
      <c r="D349" t="s">
        <v>146</v>
      </c>
      <c r="E349" t="s">
        <v>193</v>
      </c>
      <c r="F349" t="s">
        <v>16</v>
      </c>
      <c r="G349" t="s">
        <v>18</v>
      </c>
      <c r="H349">
        <v>11</v>
      </c>
      <c r="I349">
        <v>9</v>
      </c>
      <c r="J349">
        <v>2</v>
      </c>
      <c r="K349">
        <v>178</v>
      </c>
      <c r="L349">
        <v>171</v>
      </c>
      <c r="M349">
        <v>6.4327485380116955E-2</v>
      </c>
    </row>
    <row r="350" spans="1:13" x14ac:dyDescent="0.35">
      <c r="A350" t="s">
        <v>185</v>
      </c>
      <c r="B350" t="s">
        <v>36</v>
      </c>
      <c r="C350" t="s">
        <v>151</v>
      </c>
      <c r="D350" t="s">
        <v>146</v>
      </c>
      <c r="E350" t="s">
        <v>193</v>
      </c>
      <c r="F350" t="s">
        <v>16</v>
      </c>
      <c r="G350" t="s">
        <v>18</v>
      </c>
      <c r="H350">
        <v>1</v>
      </c>
      <c r="I350">
        <v>1</v>
      </c>
      <c r="J350">
        <v>0</v>
      </c>
      <c r="K350">
        <v>14</v>
      </c>
      <c r="L350">
        <v>14</v>
      </c>
      <c r="M350">
        <v>7.1428571428571425E-2</v>
      </c>
    </row>
    <row r="351" spans="1:13" x14ac:dyDescent="0.35">
      <c r="A351" t="s">
        <v>185</v>
      </c>
      <c r="B351" t="s">
        <v>36</v>
      </c>
      <c r="C351" t="s">
        <v>152</v>
      </c>
      <c r="D351" t="s">
        <v>146</v>
      </c>
      <c r="E351" t="s">
        <v>193</v>
      </c>
      <c r="F351" t="s">
        <v>16</v>
      </c>
      <c r="G351" t="s">
        <v>18</v>
      </c>
      <c r="H351">
        <v>13</v>
      </c>
      <c r="I351">
        <v>13</v>
      </c>
      <c r="J351">
        <v>0</v>
      </c>
      <c r="K351">
        <v>89</v>
      </c>
      <c r="L351">
        <v>82</v>
      </c>
      <c r="M351">
        <v>0.15853658536585366</v>
      </c>
    </row>
    <row r="352" spans="1:13" x14ac:dyDescent="0.35">
      <c r="A352" t="s">
        <v>185</v>
      </c>
      <c r="B352" t="s">
        <v>36</v>
      </c>
      <c r="C352" t="s">
        <v>153</v>
      </c>
      <c r="D352" t="s">
        <v>146</v>
      </c>
      <c r="E352" t="s">
        <v>193</v>
      </c>
      <c r="F352" t="s">
        <v>16</v>
      </c>
      <c r="G352" t="s">
        <v>18</v>
      </c>
      <c r="H352">
        <v>1</v>
      </c>
      <c r="I352">
        <v>1</v>
      </c>
      <c r="J352">
        <v>0</v>
      </c>
      <c r="K352">
        <v>5</v>
      </c>
      <c r="L352">
        <v>5</v>
      </c>
      <c r="M352">
        <v>0.2</v>
      </c>
    </row>
    <row r="353" spans="1:13" x14ac:dyDescent="0.35">
      <c r="A353" t="s">
        <v>185</v>
      </c>
      <c r="B353" t="s">
        <v>36</v>
      </c>
      <c r="C353" t="s">
        <v>154</v>
      </c>
      <c r="D353" t="s">
        <v>146</v>
      </c>
      <c r="E353" t="s">
        <v>193</v>
      </c>
      <c r="F353" t="s">
        <v>16</v>
      </c>
      <c r="G353" t="s">
        <v>18</v>
      </c>
      <c r="H353">
        <v>0</v>
      </c>
      <c r="I353">
        <v>0</v>
      </c>
      <c r="J353">
        <v>0</v>
      </c>
      <c r="K353">
        <v>9</v>
      </c>
      <c r="L353">
        <v>9</v>
      </c>
      <c r="M353">
        <v>0</v>
      </c>
    </row>
    <row r="354" spans="1:13" x14ac:dyDescent="0.35">
      <c r="A354" t="s">
        <v>185</v>
      </c>
      <c r="B354" t="s">
        <v>36</v>
      </c>
      <c r="C354" t="s">
        <v>155</v>
      </c>
      <c r="D354" t="s">
        <v>146</v>
      </c>
      <c r="E354" t="s">
        <v>193</v>
      </c>
      <c r="F354" t="s">
        <v>16</v>
      </c>
      <c r="G354" t="s">
        <v>18</v>
      </c>
      <c r="H354">
        <v>2</v>
      </c>
      <c r="I354">
        <v>2</v>
      </c>
      <c r="J354">
        <v>0</v>
      </c>
      <c r="K354">
        <v>7</v>
      </c>
      <c r="L354">
        <v>7</v>
      </c>
      <c r="M354">
        <v>0.2857142857142857</v>
      </c>
    </row>
    <row r="355" spans="1:13" x14ac:dyDescent="0.35">
      <c r="A355" t="s">
        <v>185</v>
      </c>
      <c r="B355" t="s">
        <v>36</v>
      </c>
      <c r="C355" t="s">
        <v>156</v>
      </c>
      <c r="D355" t="s">
        <v>146</v>
      </c>
      <c r="E355" t="s">
        <v>193</v>
      </c>
      <c r="F355" t="s">
        <v>16</v>
      </c>
      <c r="G355" t="s">
        <v>18</v>
      </c>
      <c r="H355">
        <v>1</v>
      </c>
      <c r="I355">
        <v>1</v>
      </c>
      <c r="J355">
        <v>0</v>
      </c>
      <c r="K355">
        <v>13</v>
      </c>
      <c r="L355">
        <v>11</v>
      </c>
      <c r="M355">
        <v>9.0909090909090912E-2</v>
      </c>
    </row>
    <row r="356" spans="1:13" x14ac:dyDescent="0.35">
      <c r="A356" t="s">
        <v>185</v>
      </c>
      <c r="B356" t="s">
        <v>36</v>
      </c>
      <c r="C356" t="s">
        <v>157</v>
      </c>
      <c r="D356" t="s">
        <v>146</v>
      </c>
      <c r="E356" t="s">
        <v>193</v>
      </c>
      <c r="F356" t="s">
        <v>16</v>
      </c>
      <c r="G356" t="s">
        <v>18</v>
      </c>
      <c r="H356">
        <v>0</v>
      </c>
      <c r="I356">
        <v>0</v>
      </c>
      <c r="J356">
        <v>0</v>
      </c>
      <c r="K356">
        <v>15</v>
      </c>
      <c r="L356">
        <v>14</v>
      </c>
      <c r="M356">
        <v>0</v>
      </c>
    </row>
    <row r="357" spans="1:13" x14ac:dyDescent="0.35">
      <c r="A357" t="s">
        <v>185</v>
      </c>
      <c r="B357" t="s">
        <v>36</v>
      </c>
      <c r="C357" t="s">
        <v>158</v>
      </c>
      <c r="D357" t="s">
        <v>146</v>
      </c>
      <c r="E357" t="s">
        <v>193</v>
      </c>
      <c r="F357" t="s">
        <v>16</v>
      </c>
      <c r="G357" t="s">
        <v>18</v>
      </c>
      <c r="H357">
        <v>2</v>
      </c>
      <c r="I357">
        <v>2</v>
      </c>
      <c r="J357">
        <v>0</v>
      </c>
      <c r="K357">
        <v>35</v>
      </c>
      <c r="L357">
        <v>33</v>
      </c>
      <c r="M357">
        <v>6.0606060606060608E-2</v>
      </c>
    </row>
    <row r="358" spans="1:13" x14ac:dyDescent="0.35">
      <c r="A358" t="s">
        <v>185</v>
      </c>
      <c r="B358" t="s">
        <v>36</v>
      </c>
      <c r="C358" t="s">
        <v>150</v>
      </c>
      <c r="D358" t="s">
        <v>146</v>
      </c>
      <c r="E358" t="s">
        <v>194</v>
      </c>
      <c r="F358" t="s">
        <v>16</v>
      </c>
      <c r="G358" t="s">
        <v>17</v>
      </c>
      <c r="H358">
        <v>3</v>
      </c>
      <c r="I358">
        <v>2</v>
      </c>
      <c r="J358">
        <v>0</v>
      </c>
      <c r="K358">
        <v>10</v>
      </c>
      <c r="L358">
        <v>9</v>
      </c>
      <c r="M358">
        <v>0.33333333333333331</v>
      </c>
    </row>
    <row r="359" spans="1:13" x14ac:dyDescent="0.35">
      <c r="A359" t="s">
        <v>185</v>
      </c>
      <c r="B359" t="s">
        <v>36</v>
      </c>
      <c r="C359" t="s">
        <v>155</v>
      </c>
      <c r="D359" t="s">
        <v>146</v>
      </c>
      <c r="E359" t="s">
        <v>194</v>
      </c>
      <c r="F359" t="s">
        <v>16</v>
      </c>
      <c r="G359" t="s">
        <v>17</v>
      </c>
      <c r="H359">
        <v>2</v>
      </c>
      <c r="I359">
        <v>2</v>
      </c>
      <c r="J359">
        <v>0</v>
      </c>
      <c r="K359">
        <v>12</v>
      </c>
      <c r="L359">
        <v>12</v>
      </c>
      <c r="M359">
        <v>0.16666666666666666</v>
      </c>
    </row>
    <row r="360" spans="1:13" x14ac:dyDescent="0.35">
      <c r="A360" t="s">
        <v>185</v>
      </c>
      <c r="B360" t="s">
        <v>36</v>
      </c>
      <c r="C360" t="s">
        <v>156</v>
      </c>
      <c r="D360" t="s">
        <v>146</v>
      </c>
      <c r="E360" t="s">
        <v>194</v>
      </c>
      <c r="F360" t="s">
        <v>16</v>
      </c>
      <c r="G360" t="s">
        <v>17</v>
      </c>
      <c r="H360">
        <v>1</v>
      </c>
      <c r="I360">
        <v>1</v>
      </c>
      <c r="J360">
        <v>0</v>
      </c>
      <c r="K360">
        <v>9</v>
      </c>
      <c r="L360">
        <v>9</v>
      </c>
      <c r="M360">
        <v>0.1111111111111111</v>
      </c>
    </row>
    <row r="361" spans="1:13" x14ac:dyDescent="0.35">
      <c r="A361" t="s">
        <v>185</v>
      </c>
      <c r="B361" t="s">
        <v>36</v>
      </c>
      <c r="C361" t="s">
        <v>153</v>
      </c>
      <c r="D361" t="s">
        <v>146</v>
      </c>
      <c r="E361" t="s">
        <v>194</v>
      </c>
      <c r="F361" t="s">
        <v>16</v>
      </c>
      <c r="G361" t="s">
        <v>17</v>
      </c>
      <c r="H361">
        <v>0</v>
      </c>
      <c r="I361">
        <v>0</v>
      </c>
      <c r="J361">
        <v>0</v>
      </c>
      <c r="K361">
        <v>7</v>
      </c>
      <c r="L361">
        <v>5</v>
      </c>
      <c r="M361">
        <v>0</v>
      </c>
    </row>
    <row r="362" spans="1:13" x14ac:dyDescent="0.35">
      <c r="A362" t="s">
        <v>185</v>
      </c>
      <c r="B362" t="s">
        <v>36</v>
      </c>
      <c r="C362" t="s">
        <v>151</v>
      </c>
      <c r="D362" t="s">
        <v>146</v>
      </c>
      <c r="E362" t="s">
        <v>194</v>
      </c>
      <c r="F362" t="s">
        <v>16</v>
      </c>
      <c r="G362" t="s">
        <v>17</v>
      </c>
      <c r="H362">
        <v>0</v>
      </c>
      <c r="I362">
        <v>0</v>
      </c>
      <c r="J362">
        <v>0</v>
      </c>
      <c r="K362">
        <v>14</v>
      </c>
      <c r="L362">
        <v>14</v>
      </c>
      <c r="M362">
        <v>0</v>
      </c>
    </row>
    <row r="363" spans="1:13" x14ac:dyDescent="0.35">
      <c r="A363" t="s">
        <v>185</v>
      </c>
      <c r="B363" t="s">
        <v>36</v>
      </c>
      <c r="C363" t="s">
        <v>158</v>
      </c>
      <c r="D363" t="s">
        <v>146</v>
      </c>
      <c r="E363" t="s">
        <v>194</v>
      </c>
      <c r="F363" t="s">
        <v>16</v>
      </c>
      <c r="G363" t="s">
        <v>17</v>
      </c>
      <c r="H363">
        <v>1</v>
      </c>
      <c r="I363">
        <v>1</v>
      </c>
      <c r="J363">
        <v>0</v>
      </c>
      <c r="K363">
        <v>60</v>
      </c>
      <c r="L363">
        <v>56</v>
      </c>
      <c r="M363">
        <v>1.7857142857142856E-2</v>
      </c>
    </row>
    <row r="364" spans="1:13" x14ac:dyDescent="0.35">
      <c r="A364" t="s">
        <v>185</v>
      </c>
      <c r="B364" t="s">
        <v>36</v>
      </c>
      <c r="C364" t="s">
        <v>148</v>
      </c>
      <c r="D364" t="s">
        <v>146</v>
      </c>
      <c r="E364" t="s">
        <v>194</v>
      </c>
      <c r="F364" t="s">
        <v>16</v>
      </c>
      <c r="G364" t="s">
        <v>17</v>
      </c>
      <c r="H364">
        <v>7</v>
      </c>
      <c r="I364">
        <v>7</v>
      </c>
      <c r="J364">
        <v>0</v>
      </c>
      <c r="K364">
        <v>116</v>
      </c>
      <c r="L364">
        <v>113</v>
      </c>
      <c r="M364">
        <v>6.1946902654867256E-2</v>
      </c>
    </row>
    <row r="365" spans="1:13" x14ac:dyDescent="0.35">
      <c r="A365" t="s">
        <v>185</v>
      </c>
      <c r="B365" t="s">
        <v>36</v>
      </c>
      <c r="C365" t="s">
        <v>157</v>
      </c>
      <c r="D365" t="s">
        <v>146</v>
      </c>
      <c r="E365" t="s">
        <v>194</v>
      </c>
      <c r="F365" t="s">
        <v>16</v>
      </c>
      <c r="G365" t="s">
        <v>17</v>
      </c>
      <c r="H365">
        <v>0</v>
      </c>
      <c r="I365">
        <v>0</v>
      </c>
      <c r="J365">
        <v>0</v>
      </c>
      <c r="K365">
        <v>9</v>
      </c>
      <c r="L365">
        <v>9</v>
      </c>
      <c r="M365">
        <v>0</v>
      </c>
    </row>
    <row r="366" spans="1:13" x14ac:dyDescent="0.35">
      <c r="A366" t="s">
        <v>185</v>
      </c>
      <c r="B366" t="s">
        <v>36</v>
      </c>
      <c r="C366" t="s">
        <v>152</v>
      </c>
      <c r="D366" t="s">
        <v>146</v>
      </c>
      <c r="E366" t="s">
        <v>194</v>
      </c>
      <c r="F366" t="s">
        <v>16</v>
      </c>
      <c r="G366" t="s">
        <v>17</v>
      </c>
      <c r="H366">
        <v>14</v>
      </c>
      <c r="I366">
        <v>14</v>
      </c>
      <c r="J366">
        <v>0</v>
      </c>
      <c r="K366">
        <v>103</v>
      </c>
      <c r="L366">
        <v>95</v>
      </c>
      <c r="M366">
        <v>0.14736842105263157</v>
      </c>
    </row>
    <row r="367" spans="1:13" x14ac:dyDescent="0.35">
      <c r="A367" t="s">
        <v>185</v>
      </c>
      <c r="B367" t="s">
        <v>36</v>
      </c>
      <c r="C367" t="s">
        <v>154</v>
      </c>
      <c r="D367" t="s">
        <v>146</v>
      </c>
      <c r="E367" t="s">
        <v>194</v>
      </c>
      <c r="F367" t="s">
        <v>16</v>
      </c>
      <c r="G367" t="s">
        <v>17</v>
      </c>
      <c r="H367">
        <v>0</v>
      </c>
      <c r="I367">
        <v>0</v>
      </c>
      <c r="J367">
        <v>0</v>
      </c>
      <c r="K367">
        <v>13</v>
      </c>
      <c r="L367">
        <v>13</v>
      </c>
      <c r="M367">
        <v>0</v>
      </c>
    </row>
    <row r="368" spans="1:13" x14ac:dyDescent="0.35">
      <c r="A368" t="s">
        <v>185</v>
      </c>
      <c r="B368" t="s">
        <v>36</v>
      </c>
      <c r="C368" t="s">
        <v>150</v>
      </c>
      <c r="D368" t="s">
        <v>146</v>
      </c>
      <c r="E368" t="s">
        <v>195</v>
      </c>
      <c r="F368" t="s">
        <v>16</v>
      </c>
      <c r="G368" t="s">
        <v>17</v>
      </c>
      <c r="H368">
        <v>1</v>
      </c>
      <c r="I368">
        <v>1</v>
      </c>
      <c r="J368">
        <v>0</v>
      </c>
      <c r="K368">
        <v>12</v>
      </c>
      <c r="L368">
        <v>10</v>
      </c>
      <c r="M368">
        <v>0.1</v>
      </c>
    </row>
    <row r="369" spans="1:13" x14ac:dyDescent="0.35">
      <c r="A369" t="s">
        <v>185</v>
      </c>
      <c r="B369" t="s">
        <v>36</v>
      </c>
      <c r="C369" t="s">
        <v>151</v>
      </c>
      <c r="D369" t="s">
        <v>146</v>
      </c>
      <c r="E369" t="s">
        <v>195</v>
      </c>
      <c r="F369" t="s">
        <v>16</v>
      </c>
      <c r="G369" t="s">
        <v>17</v>
      </c>
      <c r="H369">
        <v>0</v>
      </c>
      <c r="I369">
        <v>0</v>
      </c>
      <c r="J369">
        <v>0</v>
      </c>
      <c r="K369">
        <v>13</v>
      </c>
      <c r="L369">
        <v>13</v>
      </c>
      <c r="M369">
        <v>0</v>
      </c>
    </row>
    <row r="370" spans="1:13" x14ac:dyDescent="0.35">
      <c r="A370" t="s">
        <v>185</v>
      </c>
      <c r="B370" t="s">
        <v>36</v>
      </c>
      <c r="C370" t="s">
        <v>152</v>
      </c>
      <c r="D370" t="s">
        <v>146</v>
      </c>
      <c r="E370" t="s">
        <v>195</v>
      </c>
      <c r="F370" t="s">
        <v>16</v>
      </c>
      <c r="G370" t="s">
        <v>17</v>
      </c>
      <c r="H370">
        <v>15</v>
      </c>
      <c r="I370">
        <v>14</v>
      </c>
      <c r="J370">
        <v>1</v>
      </c>
      <c r="K370">
        <v>112</v>
      </c>
      <c r="L370">
        <v>94</v>
      </c>
      <c r="M370">
        <v>0.15957446808510639</v>
      </c>
    </row>
    <row r="371" spans="1:13" x14ac:dyDescent="0.35">
      <c r="A371" t="s">
        <v>185</v>
      </c>
      <c r="B371" t="s">
        <v>36</v>
      </c>
      <c r="C371" t="s">
        <v>153</v>
      </c>
      <c r="D371" t="s">
        <v>146</v>
      </c>
      <c r="E371" t="s">
        <v>195</v>
      </c>
      <c r="F371" t="s">
        <v>16</v>
      </c>
      <c r="G371" t="s">
        <v>17</v>
      </c>
      <c r="H371">
        <v>1</v>
      </c>
      <c r="I371">
        <v>1</v>
      </c>
      <c r="J371">
        <v>0</v>
      </c>
      <c r="K371">
        <v>12</v>
      </c>
      <c r="L371">
        <v>10</v>
      </c>
      <c r="M371">
        <v>0.1</v>
      </c>
    </row>
    <row r="372" spans="1:13" x14ac:dyDescent="0.35">
      <c r="A372" t="s">
        <v>185</v>
      </c>
      <c r="B372" t="s">
        <v>36</v>
      </c>
      <c r="C372" t="s">
        <v>154</v>
      </c>
      <c r="D372" t="s">
        <v>146</v>
      </c>
      <c r="E372" t="s">
        <v>195</v>
      </c>
      <c r="F372" t="s">
        <v>16</v>
      </c>
      <c r="G372" t="s">
        <v>17</v>
      </c>
      <c r="H372">
        <v>1</v>
      </c>
      <c r="I372">
        <v>1</v>
      </c>
      <c r="J372">
        <v>0</v>
      </c>
      <c r="K372">
        <v>20</v>
      </c>
      <c r="L372">
        <v>18</v>
      </c>
      <c r="M372">
        <v>5.5555555555555552E-2</v>
      </c>
    </row>
    <row r="373" spans="1:13" x14ac:dyDescent="0.35">
      <c r="A373" t="s">
        <v>185</v>
      </c>
      <c r="B373" t="s">
        <v>36</v>
      </c>
      <c r="C373" t="s">
        <v>148</v>
      </c>
      <c r="D373" t="s">
        <v>146</v>
      </c>
      <c r="E373" t="s">
        <v>195</v>
      </c>
      <c r="F373" t="s">
        <v>16</v>
      </c>
      <c r="G373" t="s">
        <v>17</v>
      </c>
      <c r="H373">
        <v>8</v>
      </c>
      <c r="I373">
        <v>7</v>
      </c>
      <c r="J373">
        <v>1</v>
      </c>
      <c r="K373">
        <v>128</v>
      </c>
      <c r="L373">
        <v>122</v>
      </c>
      <c r="M373">
        <v>6.5573770491803282E-2</v>
      </c>
    </row>
    <row r="374" spans="1:13" x14ac:dyDescent="0.35">
      <c r="A374" t="s">
        <v>185</v>
      </c>
      <c r="B374" t="s">
        <v>36</v>
      </c>
      <c r="C374" t="s">
        <v>155</v>
      </c>
      <c r="D374" t="s">
        <v>146</v>
      </c>
      <c r="E374" t="s">
        <v>195</v>
      </c>
      <c r="F374" t="s">
        <v>16</v>
      </c>
      <c r="G374" t="s">
        <v>17</v>
      </c>
      <c r="H374">
        <v>2</v>
      </c>
      <c r="I374">
        <v>2</v>
      </c>
      <c r="J374">
        <v>0</v>
      </c>
      <c r="K374">
        <v>10</v>
      </c>
      <c r="L374">
        <v>10</v>
      </c>
      <c r="M374">
        <v>0.2</v>
      </c>
    </row>
    <row r="375" spans="1:13" x14ac:dyDescent="0.35">
      <c r="A375" t="s">
        <v>185</v>
      </c>
      <c r="B375" t="s">
        <v>36</v>
      </c>
      <c r="C375" t="s">
        <v>156</v>
      </c>
      <c r="D375" t="s">
        <v>146</v>
      </c>
      <c r="E375" t="s">
        <v>195</v>
      </c>
      <c r="F375" t="s">
        <v>16</v>
      </c>
      <c r="G375" t="s">
        <v>17</v>
      </c>
      <c r="H375">
        <v>2</v>
      </c>
      <c r="I375">
        <v>2</v>
      </c>
      <c r="J375">
        <v>0</v>
      </c>
      <c r="K375">
        <v>10</v>
      </c>
      <c r="L375">
        <v>9</v>
      </c>
      <c r="M375">
        <v>0.22222222222222221</v>
      </c>
    </row>
    <row r="376" spans="1:13" x14ac:dyDescent="0.35">
      <c r="A376" t="s">
        <v>185</v>
      </c>
      <c r="B376" t="s">
        <v>36</v>
      </c>
      <c r="C376" t="s">
        <v>157</v>
      </c>
      <c r="D376" t="s">
        <v>146</v>
      </c>
      <c r="E376" t="s">
        <v>195</v>
      </c>
      <c r="F376" t="s">
        <v>16</v>
      </c>
      <c r="G376" t="s">
        <v>17</v>
      </c>
      <c r="H376">
        <v>1</v>
      </c>
      <c r="I376">
        <v>1</v>
      </c>
      <c r="J376">
        <v>0</v>
      </c>
      <c r="K376">
        <v>17</v>
      </c>
      <c r="L376">
        <v>14</v>
      </c>
      <c r="M376">
        <v>7.1428571428571425E-2</v>
      </c>
    </row>
    <row r="377" spans="1:13" x14ac:dyDescent="0.35">
      <c r="A377" t="s">
        <v>185</v>
      </c>
      <c r="B377" t="s">
        <v>36</v>
      </c>
      <c r="C377" t="s">
        <v>158</v>
      </c>
      <c r="D377" t="s">
        <v>146</v>
      </c>
      <c r="E377" t="s">
        <v>195</v>
      </c>
      <c r="F377" t="s">
        <v>16</v>
      </c>
      <c r="G377" t="s">
        <v>17</v>
      </c>
      <c r="H377">
        <v>1</v>
      </c>
      <c r="I377">
        <v>1</v>
      </c>
      <c r="J377">
        <v>0</v>
      </c>
      <c r="K377">
        <v>41</v>
      </c>
      <c r="L377">
        <v>37</v>
      </c>
      <c r="M377">
        <v>2.7027027027027029E-2</v>
      </c>
    </row>
    <row r="378" spans="1:13" x14ac:dyDescent="0.35">
      <c r="A378" t="s">
        <v>185</v>
      </c>
      <c r="B378" t="s">
        <v>36</v>
      </c>
      <c r="C378" t="s">
        <v>150</v>
      </c>
      <c r="D378" t="s">
        <v>146</v>
      </c>
      <c r="E378" t="s">
        <v>196</v>
      </c>
      <c r="F378" t="s">
        <v>16</v>
      </c>
      <c r="G378" t="s">
        <v>17</v>
      </c>
      <c r="H378">
        <v>2</v>
      </c>
      <c r="I378">
        <v>2</v>
      </c>
      <c r="J378">
        <v>0</v>
      </c>
      <c r="K378">
        <v>12</v>
      </c>
      <c r="L378">
        <v>11</v>
      </c>
      <c r="M378">
        <v>0.18181818181818182</v>
      </c>
    </row>
    <row r="379" spans="1:13" x14ac:dyDescent="0.35">
      <c r="A379" t="s">
        <v>185</v>
      </c>
      <c r="B379" t="s">
        <v>36</v>
      </c>
      <c r="C379" t="s">
        <v>152</v>
      </c>
      <c r="D379" t="s">
        <v>146</v>
      </c>
      <c r="E379" t="s">
        <v>196</v>
      </c>
      <c r="F379" t="s">
        <v>16</v>
      </c>
      <c r="G379" t="s">
        <v>17</v>
      </c>
      <c r="H379">
        <v>10</v>
      </c>
      <c r="I379">
        <v>10</v>
      </c>
      <c r="J379">
        <v>0</v>
      </c>
      <c r="K379">
        <v>99</v>
      </c>
      <c r="L379">
        <v>87</v>
      </c>
      <c r="M379">
        <v>0.11494252873563218</v>
      </c>
    </row>
    <row r="380" spans="1:13" x14ac:dyDescent="0.35">
      <c r="A380" t="s">
        <v>185</v>
      </c>
      <c r="B380" t="s">
        <v>36</v>
      </c>
      <c r="C380" t="s">
        <v>148</v>
      </c>
      <c r="D380" t="s">
        <v>146</v>
      </c>
      <c r="E380" t="s">
        <v>196</v>
      </c>
      <c r="F380" t="s">
        <v>16</v>
      </c>
      <c r="G380" t="s">
        <v>17</v>
      </c>
      <c r="H380">
        <v>10</v>
      </c>
      <c r="I380">
        <v>9</v>
      </c>
      <c r="J380">
        <v>1</v>
      </c>
      <c r="K380">
        <v>159</v>
      </c>
      <c r="L380">
        <v>147</v>
      </c>
      <c r="M380">
        <v>6.8027210884353748E-2</v>
      </c>
    </row>
    <row r="381" spans="1:13" x14ac:dyDescent="0.35">
      <c r="A381" t="s">
        <v>185</v>
      </c>
      <c r="B381" t="s">
        <v>36</v>
      </c>
      <c r="C381" t="s">
        <v>155</v>
      </c>
      <c r="D381" t="s">
        <v>146</v>
      </c>
      <c r="E381" t="s">
        <v>196</v>
      </c>
      <c r="F381" t="s">
        <v>16</v>
      </c>
      <c r="G381" t="s">
        <v>17</v>
      </c>
      <c r="H381">
        <v>2</v>
      </c>
      <c r="I381">
        <v>2</v>
      </c>
      <c r="J381">
        <v>0</v>
      </c>
      <c r="K381">
        <v>11</v>
      </c>
      <c r="L381">
        <v>11</v>
      </c>
      <c r="M381">
        <v>0.18181818181818182</v>
      </c>
    </row>
    <row r="382" spans="1:13" x14ac:dyDescent="0.35">
      <c r="A382" t="s">
        <v>185</v>
      </c>
      <c r="B382" t="s">
        <v>36</v>
      </c>
      <c r="C382" t="s">
        <v>157</v>
      </c>
      <c r="D382" t="s">
        <v>146</v>
      </c>
      <c r="E382" t="s">
        <v>196</v>
      </c>
      <c r="F382" t="s">
        <v>16</v>
      </c>
      <c r="G382" t="s">
        <v>17</v>
      </c>
      <c r="H382">
        <v>1</v>
      </c>
      <c r="I382">
        <v>1</v>
      </c>
      <c r="J382">
        <v>0</v>
      </c>
      <c r="K382">
        <v>11</v>
      </c>
      <c r="L382">
        <v>10</v>
      </c>
      <c r="M382">
        <v>0.1</v>
      </c>
    </row>
    <row r="383" spans="1:13" x14ac:dyDescent="0.35">
      <c r="A383" t="s">
        <v>185</v>
      </c>
      <c r="B383" t="s">
        <v>36</v>
      </c>
      <c r="C383" t="s">
        <v>158</v>
      </c>
      <c r="D383" t="s">
        <v>146</v>
      </c>
      <c r="E383" t="s">
        <v>196</v>
      </c>
      <c r="F383" t="s">
        <v>16</v>
      </c>
      <c r="G383" t="s">
        <v>17</v>
      </c>
      <c r="H383">
        <v>4</v>
      </c>
      <c r="I383">
        <v>4</v>
      </c>
      <c r="J383">
        <v>0</v>
      </c>
      <c r="K383">
        <v>67</v>
      </c>
      <c r="L383">
        <v>64</v>
      </c>
      <c r="M383">
        <v>6.25E-2</v>
      </c>
    </row>
    <row r="384" spans="1:13" x14ac:dyDescent="0.35">
      <c r="A384" t="s">
        <v>197</v>
      </c>
      <c r="B384" t="s">
        <v>13</v>
      </c>
      <c r="C384" t="s">
        <v>145</v>
      </c>
      <c r="D384" t="s">
        <v>146</v>
      </c>
      <c r="E384" t="s">
        <v>198</v>
      </c>
      <c r="F384" t="s">
        <v>199</v>
      </c>
      <c r="G384" t="s">
        <v>199</v>
      </c>
      <c r="H384">
        <v>5</v>
      </c>
      <c r="I384">
        <v>0</v>
      </c>
      <c r="J384">
        <v>3</v>
      </c>
      <c r="K384">
        <v>14</v>
      </c>
      <c r="L384">
        <v>14</v>
      </c>
      <c r="M384">
        <v>0.35714285714285715</v>
      </c>
    </row>
    <row r="385" spans="1:13" x14ac:dyDescent="0.35">
      <c r="A385" t="s">
        <v>197</v>
      </c>
      <c r="B385" t="s">
        <v>13</v>
      </c>
      <c r="C385" t="s">
        <v>149</v>
      </c>
      <c r="D385" t="s">
        <v>146</v>
      </c>
      <c r="E385" t="s">
        <v>198</v>
      </c>
      <c r="F385" t="s">
        <v>199</v>
      </c>
      <c r="G385" t="s">
        <v>18</v>
      </c>
      <c r="H385">
        <v>0</v>
      </c>
      <c r="I385">
        <v>0</v>
      </c>
      <c r="J385">
        <v>0</v>
      </c>
      <c r="K385">
        <v>162</v>
      </c>
      <c r="L385">
        <v>161</v>
      </c>
      <c r="M385">
        <v>0</v>
      </c>
    </row>
    <row r="386" spans="1:13" x14ac:dyDescent="0.35">
      <c r="A386" t="s">
        <v>197</v>
      </c>
      <c r="B386" t="s">
        <v>13</v>
      </c>
      <c r="C386" t="s">
        <v>150</v>
      </c>
      <c r="D386" t="s">
        <v>146</v>
      </c>
      <c r="E386" t="s">
        <v>198</v>
      </c>
      <c r="F386" t="s">
        <v>199</v>
      </c>
      <c r="G386" t="s">
        <v>18</v>
      </c>
      <c r="H386">
        <v>0</v>
      </c>
      <c r="I386">
        <v>0</v>
      </c>
      <c r="J386">
        <v>0</v>
      </c>
      <c r="K386">
        <v>63</v>
      </c>
      <c r="L386">
        <v>63</v>
      </c>
      <c r="M386">
        <v>0</v>
      </c>
    </row>
    <row r="387" spans="1:13" x14ac:dyDescent="0.35">
      <c r="A387" t="s">
        <v>197</v>
      </c>
      <c r="B387" t="s">
        <v>13</v>
      </c>
      <c r="C387" t="s">
        <v>151</v>
      </c>
      <c r="D387" t="s">
        <v>146</v>
      </c>
      <c r="E387" t="s">
        <v>198</v>
      </c>
      <c r="F387" t="s">
        <v>199</v>
      </c>
      <c r="G387" t="s">
        <v>18</v>
      </c>
      <c r="H387">
        <v>3</v>
      </c>
      <c r="I387">
        <v>0</v>
      </c>
      <c r="J387">
        <v>0</v>
      </c>
      <c r="K387">
        <v>31</v>
      </c>
      <c r="L387">
        <v>30</v>
      </c>
      <c r="M387">
        <v>0.1</v>
      </c>
    </row>
    <row r="388" spans="1:13" x14ac:dyDescent="0.35">
      <c r="A388" t="s">
        <v>197</v>
      </c>
      <c r="B388" t="s">
        <v>13</v>
      </c>
      <c r="C388" t="s">
        <v>152</v>
      </c>
      <c r="D388" t="s">
        <v>146</v>
      </c>
      <c r="E388" t="s">
        <v>198</v>
      </c>
      <c r="F388" t="s">
        <v>199</v>
      </c>
      <c r="G388" t="s">
        <v>18</v>
      </c>
      <c r="H388">
        <v>4</v>
      </c>
      <c r="I388">
        <v>0</v>
      </c>
      <c r="J388">
        <v>1</v>
      </c>
      <c r="K388">
        <v>20</v>
      </c>
      <c r="L388">
        <v>20</v>
      </c>
      <c r="M388">
        <v>0.2</v>
      </c>
    </row>
    <row r="389" spans="1:13" x14ac:dyDescent="0.35">
      <c r="A389" t="s">
        <v>197</v>
      </c>
      <c r="B389" t="s">
        <v>13</v>
      </c>
      <c r="C389" t="s">
        <v>153</v>
      </c>
      <c r="D389" t="s">
        <v>146</v>
      </c>
      <c r="E389" t="s">
        <v>198</v>
      </c>
      <c r="F389" t="s">
        <v>199</v>
      </c>
      <c r="G389" t="s">
        <v>18</v>
      </c>
      <c r="H389">
        <v>0</v>
      </c>
      <c r="I389">
        <v>0</v>
      </c>
      <c r="J389">
        <v>0</v>
      </c>
      <c r="K389">
        <v>27</v>
      </c>
      <c r="L389">
        <v>27</v>
      </c>
      <c r="M389">
        <v>0</v>
      </c>
    </row>
    <row r="390" spans="1:13" x14ac:dyDescent="0.35">
      <c r="A390" t="s">
        <v>197</v>
      </c>
      <c r="B390" t="s">
        <v>13</v>
      </c>
      <c r="C390" t="s">
        <v>154</v>
      </c>
      <c r="D390" t="s">
        <v>146</v>
      </c>
      <c r="E390" t="s">
        <v>198</v>
      </c>
      <c r="F390" t="s">
        <v>199</v>
      </c>
      <c r="G390" t="s">
        <v>18</v>
      </c>
      <c r="H390">
        <v>2</v>
      </c>
      <c r="I390">
        <v>0</v>
      </c>
      <c r="J390">
        <v>1</v>
      </c>
      <c r="K390">
        <v>34</v>
      </c>
      <c r="L390">
        <v>34</v>
      </c>
      <c r="M390">
        <v>5.8823529411764705E-2</v>
      </c>
    </row>
    <row r="391" spans="1:13" x14ac:dyDescent="0.35">
      <c r="A391" t="s">
        <v>197</v>
      </c>
      <c r="B391" t="s">
        <v>13</v>
      </c>
      <c r="C391" t="s">
        <v>148</v>
      </c>
      <c r="D391" t="s">
        <v>146</v>
      </c>
      <c r="E391" t="s">
        <v>198</v>
      </c>
      <c r="F391" t="s">
        <v>199</v>
      </c>
      <c r="G391" t="s">
        <v>18</v>
      </c>
      <c r="H391">
        <v>3</v>
      </c>
      <c r="I391">
        <v>0</v>
      </c>
      <c r="J391">
        <v>2</v>
      </c>
      <c r="K391">
        <v>185</v>
      </c>
      <c r="L391">
        <v>182</v>
      </c>
      <c r="M391">
        <v>1.6483516483516484E-2</v>
      </c>
    </row>
    <row r="392" spans="1:13" x14ac:dyDescent="0.35">
      <c r="A392" t="s">
        <v>197</v>
      </c>
      <c r="B392" t="s">
        <v>13</v>
      </c>
      <c r="C392" t="s">
        <v>155</v>
      </c>
      <c r="D392" t="s">
        <v>146</v>
      </c>
      <c r="E392" t="s">
        <v>198</v>
      </c>
      <c r="F392" t="s">
        <v>199</v>
      </c>
      <c r="G392" t="s">
        <v>18</v>
      </c>
      <c r="H392">
        <v>4</v>
      </c>
      <c r="I392">
        <v>0</v>
      </c>
      <c r="J392">
        <v>1</v>
      </c>
      <c r="K392">
        <v>55</v>
      </c>
      <c r="L392">
        <v>54</v>
      </c>
      <c r="M392">
        <v>7.407407407407407E-2</v>
      </c>
    </row>
    <row r="393" spans="1:13" x14ac:dyDescent="0.35">
      <c r="A393" t="s">
        <v>197</v>
      </c>
      <c r="B393" t="s">
        <v>13</v>
      </c>
      <c r="C393" t="s">
        <v>156</v>
      </c>
      <c r="D393" t="s">
        <v>146</v>
      </c>
      <c r="E393" t="s">
        <v>198</v>
      </c>
      <c r="F393" t="s">
        <v>199</v>
      </c>
      <c r="G393" t="s">
        <v>18</v>
      </c>
      <c r="H393">
        <v>1</v>
      </c>
      <c r="I393">
        <v>0</v>
      </c>
      <c r="J393">
        <v>1</v>
      </c>
      <c r="K393">
        <v>20</v>
      </c>
      <c r="L393">
        <v>20</v>
      </c>
      <c r="M393">
        <v>0.05</v>
      </c>
    </row>
    <row r="394" spans="1:13" x14ac:dyDescent="0.35">
      <c r="A394" t="s">
        <v>197</v>
      </c>
      <c r="B394" t="s">
        <v>13</v>
      </c>
      <c r="C394" t="s">
        <v>157</v>
      </c>
      <c r="D394" t="s">
        <v>146</v>
      </c>
      <c r="E394" t="s">
        <v>198</v>
      </c>
      <c r="F394" t="s">
        <v>199</v>
      </c>
      <c r="G394" t="s">
        <v>18</v>
      </c>
      <c r="H394">
        <v>2</v>
      </c>
      <c r="I394">
        <v>0</v>
      </c>
      <c r="J394">
        <v>0</v>
      </c>
      <c r="K394">
        <v>518</v>
      </c>
      <c r="L394">
        <v>511</v>
      </c>
      <c r="M394">
        <v>3.9138943248532287E-3</v>
      </c>
    </row>
    <row r="395" spans="1:13" x14ac:dyDescent="0.35">
      <c r="A395" t="s">
        <v>197</v>
      </c>
      <c r="B395" t="s">
        <v>13</v>
      </c>
      <c r="C395" t="s">
        <v>158</v>
      </c>
      <c r="D395" t="s">
        <v>146</v>
      </c>
      <c r="E395" t="s">
        <v>198</v>
      </c>
      <c r="F395" t="s">
        <v>199</v>
      </c>
      <c r="G395" t="s">
        <v>18</v>
      </c>
      <c r="H395">
        <v>3</v>
      </c>
      <c r="I395">
        <v>0</v>
      </c>
      <c r="J395">
        <v>1</v>
      </c>
      <c r="K395">
        <v>507</v>
      </c>
      <c r="L395">
        <v>507</v>
      </c>
      <c r="M395">
        <v>5.9171597633136093E-3</v>
      </c>
    </row>
    <row r="396" spans="1:13" x14ac:dyDescent="0.35">
      <c r="A396" t="s">
        <v>197</v>
      </c>
      <c r="B396" t="s">
        <v>13</v>
      </c>
      <c r="C396" t="s">
        <v>149</v>
      </c>
      <c r="D396" t="s">
        <v>146</v>
      </c>
      <c r="E396" t="s">
        <v>200</v>
      </c>
      <c r="F396" t="s">
        <v>199</v>
      </c>
      <c r="G396" t="s">
        <v>20</v>
      </c>
      <c r="H396">
        <v>0</v>
      </c>
      <c r="I396">
        <v>0</v>
      </c>
      <c r="J396">
        <v>0</v>
      </c>
      <c r="K396">
        <v>154</v>
      </c>
      <c r="L396">
        <v>151</v>
      </c>
      <c r="M396">
        <v>0</v>
      </c>
    </row>
    <row r="397" spans="1:13" x14ac:dyDescent="0.35">
      <c r="A397" t="s">
        <v>197</v>
      </c>
      <c r="B397" t="s">
        <v>13</v>
      </c>
      <c r="C397" t="s">
        <v>150</v>
      </c>
      <c r="D397" t="s">
        <v>146</v>
      </c>
      <c r="E397" t="s">
        <v>200</v>
      </c>
      <c r="F397" t="s">
        <v>199</v>
      </c>
      <c r="G397" t="s">
        <v>20</v>
      </c>
      <c r="H397">
        <v>0</v>
      </c>
      <c r="I397">
        <v>0</v>
      </c>
      <c r="J397">
        <v>0</v>
      </c>
      <c r="K397">
        <v>68</v>
      </c>
      <c r="L397">
        <v>66</v>
      </c>
      <c r="M397">
        <v>0</v>
      </c>
    </row>
    <row r="398" spans="1:13" x14ac:dyDescent="0.35">
      <c r="A398" t="s">
        <v>197</v>
      </c>
      <c r="B398" t="s">
        <v>13</v>
      </c>
      <c r="C398" t="s">
        <v>151</v>
      </c>
      <c r="D398" t="s">
        <v>146</v>
      </c>
      <c r="E398" t="s">
        <v>200</v>
      </c>
      <c r="F398" t="s">
        <v>199</v>
      </c>
      <c r="G398" t="s">
        <v>20</v>
      </c>
      <c r="H398">
        <v>4</v>
      </c>
      <c r="I398">
        <v>0</v>
      </c>
      <c r="J398">
        <v>1</v>
      </c>
      <c r="K398">
        <v>26</v>
      </c>
      <c r="L398">
        <v>26</v>
      </c>
      <c r="M398">
        <v>0.15384615384615385</v>
      </c>
    </row>
    <row r="399" spans="1:13" x14ac:dyDescent="0.35">
      <c r="A399" t="s">
        <v>197</v>
      </c>
      <c r="B399" t="s">
        <v>13</v>
      </c>
      <c r="C399" t="s">
        <v>152</v>
      </c>
      <c r="D399" t="s">
        <v>146</v>
      </c>
      <c r="E399" t="s">
        <v>200</v>
      </c>
      <c r="F399" t="s">
        <v>199</v>
      </c>
      <c r="G399" t="s">
        <v>20</v>
      </c>
      <c r="H399">
        <v>6</v>
      </c>
      <c r="I399">
        <v>0</v>
      </c>
      <c r="J399">
        <v>3</v>
      </c>
      <c r="K399">
        <v>17</v>
      </c>
      <c r="L399">
        <v>16</v>
      </c>
      <c r="M399">
        <v>0.375</v>
      </c>
    </row>
    <row r="400" spans="1:13" x14ac:dyDescent="0.35">
      <c r="A400" t="s">
        <v>197</v>
      </c>
      <c r="B400" t="s">
        <v>13</v>
      </c>
      <c r="C400" t="s">
        <v>153</v>
      </c>
      <c r="D400" t="s">
        <v>146</v>
      </c>
      <c r="E400" t="s">
        <v>200</v>
      </c>
      <c r="F400" t="s">
        <v>199</v>
      </c>
      <c r="G400" t="s">
        <v>20</v>
      </c>
      <c r="H400">
        <v>1</v>
      </c>
      <c r="I400">
        <v>0</v>
      </c>
      <c r="J400">
        <v>0</v>
      </c>
      <c r="K400">
        <v>33</v>
      </c>
      <c r="L400">
        <v>33</v>
      </c>
      <c r="M400">
        <v>3.0303030303030304E-2</v>
      </c>
    </row>
    <row r="401" spans="1:13" x14ac:dyDescent="0.35">
      <c r="A401" t="s">
        <v>197</v>
      </c>
      <c r="B401" t="s">
        <v>13</v>
      </c>
      <c r="C401" t="s">
        <v>154</v>
      </c>
      <c r="D401" t="s">
        <v>146</v>
      </c>
      <c r="E401" t="s">
        <v>200</v>
      </c>
      <c r="F401" t="s">
        <v>199</v>
      </c>
      <c r="G401" t="s">
        <v>20</v>
      </c>
      <c r="H401">
        <v>1</v>
      </c>
      <c r="I401">
        <v>0</v>
      </c>
      <c r="J401">
        <v>0</v>
      </c>
      <c r="K401">
        <v>34</v>
      </c>
      <c r="L401">
        <v>32</v>
      </c>
      <c r="M401">
        <v>3.125E-2</v>
      </c>
    </row>
    <row r="402" spans="1:13" x14ac:dyDescent="0.35">
      <c r="A402" t="s">
        <v>197</v>
      </c>
      <c r="B402" t="s">
        <v>13</v>
      </c>
      <c r="C402" t="s">
        <v>148</v>
      </c>
      <c r="D402" t="s">
        <v>146</v>
      </c>
      <c r="E402" t="s">
        <v>200</v>
      </c>
      <c r="F402" t="s">
        <v>199</v>
      </c>
      <c r="G402" t="s">
        <v>20</v>
      </c>
      <c r="H402">
        <v>5</v>
      </c>
      <c r="I402">
        <v>0</v>
      </c>
      <c r="J402">
        <v>2</v>
      </c>
      <c r="K402">
        <v>218</v>
      </c>
      <c r="L402">
        <v>217</v>
      </c>
      <c r="M402">
        <v>2.3041474654377881E-2</v>
      </c>
    </row>
    <row r="403" spans="1:13" x14ac:dyDescent="0.35">
      <c r="A403" t="s">
        <v>197</v>
      </c>
      <c r="B403" t="s">
        <v>13</v>
      </c>
      <c r="C403" t="s">
        <v>155</v>
      </c>
      <c r="D403" t="s">
        <v>146</v>
      </c>
      <c r="E403" t="s">
        <v>200</v>
      </c>
      <c r="F403" t="s">
        <v>199</v>
      </c>
      <c r="G403" t="s">
        <v>20</v>
      </c>
      <c r="H403">
        <v>3</v>
      </c>
      <c r="I403">
        <v>0</v>
      </c>
      <c r="J403">
        <v>1</v>
      </c>
      <c r="K403">
        <v>56</v>
      </c>
      <c r="L403">
        <v>56</v>
      </c>
      <c r="M403">
        <v>5.3571428571428568E-2</v>
      </c>
    </row>
    <row r="404" spans="1:13" x14ac:dyDescent="0.35">
      <c r="A404" t="s">
        <v>197</v>
      </c>
      <c r="B404" t="s">
        <v>13</v>
      </c>
      <c r="C404" t="s">
        <v>156</v>
      </c>
      <c r="D404" t="s">
        <v>146</v>
      </c>
      <c r="E404" t="s">
        <v>200</v>
      </c>
      <c r="F404" t="s">
        <v>199</v>
      </c>
      <c r="G404" t="s">
        <v>20</v>
      </c>
      <c r="H404">
        <v>4</v>
      </c>
      <c r="I404">
        <v>0</v>
      </c>
      <c r="J404">
        <v>2</v>
      </c>
      <c r="K404">
        <v>22</v>
      </c>
      <c r="L404">
        <v>22</v>
      </c>
      <c r="M404">
        <v>0.18181818181818182</v>
      </c>
    </row>
    <row r="405" spans="1:13" x14ac:dyDescent="0.35">
      <c r="A405" t="s">
        <v>197</v>
      </c>
      <c r="B405" t="s">
        <v>13</v>
      </c>
      <c r="C405" t="s">
        <v>157</v>
      </c>
      <c r="D405" t="s">
        <v>146</v>
      </c>
      <c r="E405" t="s">
        <v>200</v>
      </c>
      <c r="F405" t="s">
        <v>199</v>
      </c>
      <c r="G405" t="s">
        <v>20</v>
      </c>
      <c r="H405">
        <v>3</v>
      </c>
      <c r="I405">
        <v>0</v>
      </c>
      <c r="J405">
        <v>1</v>
      </c>
      <c r="K405">
        <v>553</v>
      </c>
      <c r="L405">
        <v>531</v>
      </c>
      <c r="M405">
        <v>5.6497175141242938E-3</v>
      </c>
    </row>
    <row r="406" spans="1:13" x14ac:dyDescent="0.35">
      <c r="A406" t="s">
        <v>197</v>
      </c>
      <c r="B406" t="s">
        <v>13</v>
      </c>
      <c r="C406" t="s">
        <v>158</v>
      </c>
      <c r="D406" t="s">
        <v>146</v>
      </c>
      <c r="E406" t="s">
        <v>200</v>
      </c>
      <c r="F406" t="s">
        <v>199</v>
      </c>
      <c r="G406" t="s">
        <v>20</v>
      </c>
      <c r="H406">
        <v>3</v>
      </c>
      <c r="I406">
        <v>0</v>
      </c>
      <c r="J406">
        <v>1</v>
      </c>
      <c r="K406">
        <v>572</v>
      </c>
      <c r="L406">
        <v>572</v>
      </c>
      <c r="M406">
        <v>5.244755244755245E-3</v>
      </c>
    </row>
    <row r="407" spans="1:13" x14ac:dyDescent="0.35">
      <c r="A407" t="s">
        <v>197</v>
      </c>
      <c r="B407" t="s">
        <v>13</v>
      </c>
      <c r="C407" t="s">
        <v>148</v>
      </c>
      <c r="D407" t="s">
        <v>146</v>
      </c>
      <c r="E407" t="s">
        <v>201</v>
      </c>
      <c r="F407" t="s">
        <v>199</v>
      </c>
      <c r="G407" t="s">
        <v>17</v>
      </c>
      <c r="H407">
        <v>7</v>
      </c>
      <c r="I407">
        <v>0</v>
      </c>
      <c r="J407">
        <v>0</v>
      </c>
      <c r="K407">
        <v>342</v>
      </c>
      <c r="L407">
        <v>342</v>
      </c>
      <c r="M407">
        <v>2.046783625730994E-2</v>
      </c>
    </row>
    <row r="408" spans="1:13" x14ac:dyDescent="0.35">
      <c r="A408" t="s">
        <v>197</v>
      </c>
      <c r="B408" t="s">
        <v>13</v>
      </c>
      <c r="C408" t="s">
        <v>150</v>
      </c>
      <c r="D408" t="s">
        <v>146</v>
      </c>
      <c r="E408" t="s">
        <v>202</v>
      </c>
      <c r="F408" t="s">
        <v>199</v>
      </c>
      <c r="G408" t="s">
        <v>17</v>
      </c>
      <c r="H408">
        <v>1</v>
      </c>
      <c r="I408">
        <v>0</v>
      </c>
      <c r="J408">
        <v>0</v>
      </c>
      <c r="K408">
        <v>69</v>
      </c>
      <c r="L408">
        <v>69</v>
      </c>
      <c r="M408">
        <v>1.4492753623188406E-2</v>
      </c>
    </row>
    <row r="409" spans="1:13" x14ac:dyDescent="0.35">
      <c r="A409" t="s">
        <v>197</v>
      </c>
      <c r="B409" t="s">
        <v>13</v>
      </c>
      <c r="C409" t="s">
        <v>151</v>
      </c>
      <c r="D409" t="s">
        <v>146</v>
      </c>
      <c r="E409" t="s">
        <v>202</v>
      </c>
      <c r="F409" t="s">
        <v>199</v>
      </c>
      <c r="G409" t="s">
        <v>17</v>
      </c>
      <c r="H409">
        <v>0</v>
      </c>
      <c r="I409">
        <v>0</v>
      </c>
      <c r="J409">
        <v>0</v>
      </c>
      <c r="K409">
        <v>47</v>
      </c>
      <c r="L409">
        <v>44</v>
      </c>
      <c r="M409">
        <v>0</v>
      </c>
    </row>
    <row r="410" spans="1:13" x14ac:dyDescent="0.35">
      <c r="A410" t="s">
        <v>197</v>
      </c>
      <c r="B410" t="s">
        <v>13</v>
      </c>
      <c r="C410" t="s">
        <v>152</v>
      </c>
      <c r="D410" t="s">
        <v>146</v>
      </c>
      <c r="E410" t="s">
        <v>202</v>
      </c>
      <c r="F410" t="s">
        <v>199</v>
      </c>
      <c r="G410" t="s">
        <v>17</v>
      </c>
      <c r="H410">
        <v>6</v>
      </c>
      <c r="I410">
        <v>0</v>
      </c>
      <c r="J410">
        <v>3</v>
      </c>
      <c r="K410">
        <v>18</v>
      </c>
      <c r="L410">
        <v>17</v>
      </c>
      <c r="M410">
        <v>0.35294117647058826</v>
      </c>
    </row>
    <row r="411" spans="1:13" x14ac:dyDescent="0.35">
      <c r="A411" t="s">
        <v>197</v>
      </c>
      <c r="B411" t="s">
        <v>13</v>
      </c>
      <c r="C411" t="s">
        <v>153</v>
      </c>
      <c r="D411" t="s">
        <v>146</v>
      </c>
      <c r="E411" t="s">
        <v>202</v>
      </c>
      <c r="F411" t="s">
        <v>199</v>
      </c>
      <c r="G411" t="s">
        <v>17</v>
      </c>
      <c r="H411">
        <v>0</v>
      </c>
      <c r="I411">
        <v>0</v>
      </c>
      <c r="J411">
        <v>0</v>
      </c>
      <c r="K411">
        <v>31</v>
      </c>
      <c r="L411">
        <v>31</v>
      </c>
      <c r="M411">
        <v>0</v>
      </c>
    </row>
    <row r="412" spans="1:13" x14ac:dyDescent="0.35">
      <c r="A412" t="s">
        <v>197</v>
      </c>
      <c r="B412" t="s">
        <v>13</v>
      </c>
      <c r="C412" t="s">
        <v>154</v>
      </c>
      <c r="D412" t="s">
        <v>146</v>
      </c>
      <c r="E412" t="s">
        <v>202</v>
      </c>
      <c r="F412" t="s">
        <v>199</v>
      </c>
      <c r="G412" t="s">
        <v>17</v>
      </c>
      <c r="H412">
        <v>0</v>
      </c>
      <c r="I412">
        <v>0</v>
      </c>
      <c r="J412">
        <v>0</v>
      </c>
      <c r="K412">
        <v>48</v>
      </c>
      <c r="L412">
        <v>41</v>
      </c>
      <c r="M412">
        <v>0</v>
      </c>
    </row>
    <row r="413" spans="1:13" x14ac:dyDescent="0.35">
      <c r="A413" t="s">
        <v>197</v>
      </c>
      <c r="B413" t="s">
        <v>13</v>
      </c>
      <c r="C413" t="s">
        <v>155</v>
      </c>
      <c r="D413" t="s">
        <v>146</v>
      </c>
      <c r="E413" t="s">
        <v>202</v>
      </c>
      <c r="F413" t="s">
        <v>199</v>
      </c>
      <c r="G413" t="s">
        <v>17</v>
      </c>
      <c r="H413">
        <v>3</v>
      </c>
      <c r="I413">
        <v>0</v>
      </c>
      <c r="J413">
        <v>1</v>
      </c>
      <c r="K413">
        <v>76</v>
      </c>
      <c r="L413">
        <v>76</v>
      </c>
      <c r="M413">
        <v>3.9473684210526314E-2</v>
      </c>
    </row>
    <row r="414" spans="1:13" x14ac:dyDescent="0.35">
      <c r="A414" t="s">
        <v>197</v>
      </c>
      <c r="B414" t="s">
        <v>13</v>
      </c>
      <c r="C414" t="s">
        <v>156</v>
      </c>
      <c r="D414" t="s">
        <v>146</v>
      </c>
      <c r="E414" t="s">
        <v>202</v>
      </c>
      <c r="F414" t="s">
        <v>199</v>
      </c>
      <c r="G414" t="s">
        <v>17</v>
      </c>
      <c r="H414">
        <v>2</v>
      </c>
      <c r="I414">
        <v>0</v>
      </c>
      <c r="J414">
        <v>2</v>
      </c>
      <c r="K414">
        <v>23</v>
      </c>
      <c r="L414">
        <v>21</v>
      </c>
      <c r="M414">
        <v>9.5238095238095233E-2</v>
      </c>
    </row>
    <row r="415" spans="1:13" x14ac:dyDescent="0.35">
      <c r="A415" t="s">
        <v>197</v>
      </c>
      <c r="B415" t="s">
        <v>13</v>
      </c>
      <c r="C415" t="s">
        <v>157</v>
      </c>
      <c r="D415" t="s">
        <v>146</v>
      </c>
      <c r="E415" t="s">
        <v>202</v>
      </c>
      <c r="F415" t="s">
        <v>199</v>
      </c>
      <c r="G415" t="s">
        <v>17</v>
      </c>
      <c r="H415">
        <v>4</v>
      </c>
      <c r="I415">
        <v>0</v>
      </c>
      <c r="J415">
        <v>0</v>
      </c>
      <c r="K415">
        <v>476</v>
      </c>
      <c r="L415">
        <v>471</v>
      </c>
      <c r="M415">
        <v>8.4925690021231421E-3</v>
      </c>
    </row>
    <row r="416" spans="1:13" x14ac:dyDescent="0.35">
      <c r="A416" t="s">
        <v>197</v>
      </c>
      <c r="B416" t="s">
        <v>13</v>
      </c>
      <c r="C416" t="s">
        <v>158</v>
      </c>
      <c r="D416" t="s">
        <v>146</v>
      </c>
      <c r="E416" t="s">
        <v>202</v>
      </c>
      <c r="F416" t="s">
        <v>199</v>
      </c>
      <c r="G416" t="s">
        <v>17</v>
      </c>
      <c r="H416">
        <v>9</v>
      </c>
      <c r="I416">
        <v>0</v>
      </c>
      <c r="J416">
        <v>1</v>
      </c>
      <c r="K416">
        <v>776</v>
      </c>
      <c r="L416">
        <v>776</v>
      </c>
      <c r="M416">
        <v>1.1597938144329897E-2</v>
      </c>
    </row>
    <row r="417" spans="1:13" x14ac:dyDescent="0.35">
      <c r="A417" t="s">
        <v>197</v>
      </c>
      <c r="B417" t="s">
        <v>13</v>
      </c>
      <c r="C417" t="s">
        <v>145</v>
      </c>
      <c r="D417" t="s">
        <v>146</v>
      </c>
      <c r="E417" t="s">
        <v>203</v>
      </c>
      <c r="F417" t="s">
        <v>199</v>
      </c>
      <c r="G417" t="s">
        <v>199</v>
      </c>
      <c r="H417">
        <v>7</v>
      </c>
      <c r="I417">
        <v>0</v>
      </c>
      <c r="J417">
        <v>1</v>
      </c>
      <c r="K417">
        <v>13</v>
      </c>
      <c r="L417">
        <v>13</v>
      </c>
      <c r="M417">
        <v>0.53846153846153844</v>
      </c>
    </row>
    <row r="418" spans="1:13" x14ac:dyDescent="0.35">
      <c r="A418" t="s">
        <v>197</v>
      </c>
      <c r="B418" t="s">
        <v>13</v>
      </c>
      <c r="C418" t="s">
        <v>149</v>
      </c>
      <c r="D418" t="s">
        <v>146</v>
      </c>
      <c r="E418" t="s">
        <v>204</v>
      </c>
      <c r="F418" t="s">
        <v>199</v>
      </c>
      <c r="G418" t="s">
        <v>17</v>
      </c>
      <c r="H418">
        <v>1</v>
      </c>
      <c r="I418">
        <v>0</v>
      </c>
      <c r="J418">
        <v>1</v>
      </c>
      <c r="K418">
        <v>175</v>
      </c>
      <c r="L418">
        <v>167</v>
      </c>
      <c r="M418">
        <v>5.9880239520958087E-3</v>
      </c>
    </row>
    <row r="419" spans="1:13" x14ac:dyDescent="0.35">
      <c r="A419" t="s">
        <v>197</v>
      </c>
      <c r="B419" t="s">
        <v>13</v>
      </c>
      <c r="C419" t="s">
        <v>150</v>
      </c>
      <c r="D419" t="s">
        <v>146</v>
      </c>
      <c r="E419" t="s">
        <v>204</v>
      </c>
      <c r="F419" t="s">
        <v>199</v>
      </c>
      <c r="G419" t="s">
        <v>17</v>
      </c>
      <c r="H419">
        <v>0</v>
      </c>
      <c r="I419">
        <v>0</v>
      </c>
      <c r="J419">
        <v>0</v>
      </c>
      <c r="K419">
        <v>66</v>
      </c>
      <c r="L419">
        <v>65</v>
      </c>
      <c r="M419">
        <v>0</v>
      </c>
    </row>
    <row r="420" spans="1:13" x14ac:dyDescent="0.35">
      <c r="A420" t="s">
        <v>197</v>
      </c>
      <c r="B420" t="s">
        <v>13</v>
      </c>
      <c r="C420" t="s">
        <v>151</v>
      </c>
      <c r="D420" t="s">
        <v>146</v>
      </c>
      <c r="E420" t="s">
        <v>204</v>
      </c>
      <c r="F420" t="s">
        <v>199</v>
      </c>
      <c r="G420" t="s">
        <v>17</v>
      </c>
      <c r="H420">
        <v>3</v>
      </c>
      <c r="I420">
        <v>0</v>
      </c>
      <c r="J420">
        <v>0</v>
      </c>
      <c r="K420">
        <v>70</v>
      </c>
      <c r="L420">
        <v>65</v>
      </c>
      <c r="M420">
        <v>4.6153846153846156E-2</v>
      </c>
    </row>
    <row r="421" spans="1:13" x14ac:dyDescent="0.35">
      <c r="A421" t="s">
        <v>197</v>
      </c>
      <c r="B421" t="s">
        <v>13</v>
      </c>
      <c r="C421" t="s">
        <v>152</v>
      </c>
      <c r="D421" t="s">
        <v>146</v>
      </c>
      <c r="E421" t="s">
        <v>204</v>
      </c>
      <c r="F421" t="s">
        <v>199</v>
      </c>
      <c r="G421" t="s">
        <v>17</v>
      </c>
      <c r="H421">
        <v>5</v>
      </c>
      <c r="I421">
        <v>0</v>
      </c>
      <c r="J421">
        <v>2</v>
      </c>
      <c r="K421">
        <v>20</v>
      </c>
      <c r="L421">
        <v>17</v>
      </c>
      <c r="M421">
        <v>0.29411764705882354</v>
      </c>
    </row>
    <row r="422" spans="1:13" x14ac:dyDescent="0.35">
      <c r="A422" t="s">
        <v>197</v>
      </c>
      <c r="B422" t="s">
        <v>13</v>
      </c>
      <c r="C422" t="s">
        <v>153</v>
      </c>
      <c r="D422" t="s">
        <v>146</v>
      </c>
      <c r="E422" t="s">
        <v>204</v>
      </c>
      <c r="F422" t="s">
        <v>199</v>
      </c>
      <c r="G422" t="s">
        <v>17</v>
      </c>
      <c r="H422">
        <v>0</v>
      </c>
      <c r="I422">
        <v>0</v>
      </c>
      <c r="J422">
        <v>0</v>
      </c>
      <c r="K422">
        <v>47</v>
      </c>
      <c r="L422">
        <v>44</v>
      </c>
      <c r="M422">
        <v>0</v>
      </c>
    </row>
    <row r="423" spans="1:13" x14ac:dyDescent="0.35">
      <c r="A423" t="s">
        <v>197</v>
      </c>
      <c r="B423" t="s">
        <v>13</v>
      </c>
      <c r="C423" t="s">
        <v>154</v>
      </c>
      <c r="D423" t="s">
        <v>146</v>
      </c>
      <c r="E423" t="s">
        <v>204</v>
      </c>
      <c r="F423" t="s">
        <v>199</v>
      </c>
      <c r="G423" t="s">
        <v>17</v>
      </c>
      <c r="H423">
        <v>0</v>
      </c>
      <c r="I423">
        <v>0</v>
      </c>
      <c r="J423">
        <v>0</v>
      </c>
      <c r="K423">
        <v>67</v>
      </c>
      <c r="L423">
        <v>51</v>
      </c>
      <c r="M423">
        <v>0</v>
      </c>
    </row>
    <row r="424" spans="1:13" x14ac:dyDescent="0.35">
      <c r="A424" t="s">
        <v>197</v>
      </c>
      <c r="B424" t="s">
        <v>13</v>
      </c>
      <c r="C424" t="s">
        <v>155</v>
      </c>
      <c r="D424" t="s">
        <v>146</v>
      </c>
      <c r="E424" t="s">
        <v>204</v>
      </c>
      <c r="F424" t="s">
        <v>199</v>
      </c>
      <c r="G424" t="s">
        <v>17</v>
      </c>
      <c r="H424">
        <v>4</v>
      </c>
      <c r="I424">
        <v>0</v>
      </c>
      <c r="J424">
        <v>2</v>
      </c>
      <c r="K424">
        <v>85</v>
      </c>
      <c r="L424">
        <v>84</v>
      </c>
      <c r="M424">
        <v>4.7619047619047616E-2</v>
      </c>
    </row>
    <row r="425" spans="1:13" x14ac:dyDescent="0.35">
      <c r="A425" t="s">
        <v>197</v>
      </c>
      <c r="B425" t="s">
        <v>13</v>
      </c>
      <c r="C425" t="s">
        <v>156</v>
      </c>
      <c r="D425" t="s">
        <v>146</v>
      </c>
      <c r="E425" t="s">
        <v>204</v>
      </c>
      <c r="F425" t="s">
        <v>199</v>
      </c>
      <c r="G425" t="s">
        <v>17</v>
      </c>
      <c r="H425">
        <v>3</v>
      </c>
      <c r="I425">
        <v>0</v>
      </c>
      <c r="J425">
        <v>1</v>
      </c>
      <c r="K425">
        <v>28</v>
      </c>
      <c r="L425">
        <v>25</v>
      </c>
      <c r="M425">
        <v>0.12</v>
      </c>
    </row>
    <row r="426" spans="1:13" x14ac:dyDescent="0.35">
      <c r="A426" t="s">
        <v>197</v>
      </c>
      <c r="B426" t="s">
        <v>13</v>
      </c>
      <c r="C426" t="s">
        <v>157</v>
      </c>
      <c r="D426" t="s">
        <v>146</v>
      </c>
      <c r="E426" t="s">
        <v>204</v>
      </c>
      <c r="F426" t="s">
        <v>199</v>
      </c>
      <c r="G426" t="s">
        <v>17</v>
      </c>
      <c r="H426">
        <v>3</v>
      </c>
      <c r="I426">
        <v>0</v>
      </c>
      <c r="J426">
        <v>0</v>
      </c>
      <c r="K426">
        <v>495</v>
      </c>
      <c r="L426">
        <v>490</v>
      </c>
      <c r="M426">
        <v>6.1224489795918364E-3</v>
      </c>
    </row>
    <row r="427" spans="1:13" x14ac:dyDescent="0.35">
      <c r="A427" t="s">
        <v>197</v>
      </c>
      <c r="B427" t="s">
        <v>13</v>
      </c>
      <c r="C427" t="s">
        <v>158</v>
      </c>
      <c r="D427" t="s">
        <v>146</v>
      </c>
      <c r="E427" t="s">
        <v>204</v>
      </c>
      <c r="F427" t="s">
        <v>199</v>
      </c>
      <c r="G427" t="s">
        <v>17</v>
      </c>
      <c r="H427">
        <v>2</v>
      </c>
      <c r="I427">
        <v>0</v>
      </c>
      <c r="J427">
        <v>1</v>
      </c>
      <c r="K427">
        <v>497</v>
      </c>
      <c r="L427">
        <v>497</v>
      </c>
      <c r="M427">
        <v>4.0241448692152921E-3</v>
      </c>
    </row>
    <row r="428" spans="1:13" x14ac:dyDescent="0.35">
      <c r="A428" t="s">
        <v>197</v>
      </c>
      <c r="B428" t="s">
        <v>13</v>
      </c>
      <c r="C428" t="s">
        <v>148</v>
      </c>
      <c r="D428" t="s">
        <v>146</v>
      </c>
      <c r="E428" t="s">
        <v>204</v>
      </c>
      <c r="F428" t="s">
        <v>199</v>
      </c>
      <c r="G428" t="s">
        <v>17</v>
      </c>
      <c r="H428">
        <v>9</v>
      </c>
      <c r="I428">
        <v>0</v>
      </c>
      <c r="J428">
        <v>2</v>
      </c>
      <c r="K428">
        <v>298</v>
      </c>
      <c r="L428">
        <v>293</v>
      </c>
      <c r="M428">
        <v>3.0716723549488054E-2</v>
      </c>
    </row>
    <row r="429" spans="1:13" x14ac:dyDescent="0.35">
      <c r="A429" t="s">
        <v>197</v>
      </c>
      <c r="B429" t="s">
        <v>13</v>
      </c>
      <c r="C429" t="s">
        <v>149</v>
      </c>
      <c r="D429" t="s">
        <v>146</v>
      </c>
      <c r="E429" t="s">
        <v>205</v>
      </c>
      <c r="F429" t="s">
        <v>199</v>
      </c>
      <c r="G429" t="s">
        <v>181</v>
      </c>
      <c r="H429">
        <v>5</v>
      </c>
      <c r="I429">
        <v>0</v>
      </c>
      <c r="J429">
        <v>2</v>
      </c>
      <c r="K429">
        <v>217</v>
      </c>
      <c r="L429">
        <v>208</v>
      </c>
      <c r="M429">
        <v>2.403846153846154E-2</v>
      </c>
    </row>
    <row r="430" spans="1:13" x14ac:dyDescent="0.35">
      <c r="A430" t="s">
        <v>197</v>
      </c>
      <c r="B430" t="s">
        <v>13</v>
      </c>
      <c r="C430" t="s">
        <v>157</v>
      </c>
      <c r="D430" t="s">
        <v>146</v>
      </c>
      <c r="E430" t="s">
        <v>205</v>
      </c>
      <c r="F430" t="s">
        <v>199</v>
      </c>
      <c r="G430" t="s">
        <v>181</v>
      </c>
      <c r="H430">
        <v>8</v>
      </c>
      <c r="I430">
        <v>0</v>
      </c>
      <c r="J430">
        <v>1</v>
      </c>
      <c r="K430">
        <v>424</v>
      </c>
      <c r="L430">
        <v>418</v>
      </c>
      <c r="M430">
        <v>1.9138755980861243E-2</v>
      </c>
    </row>
    <row r="431" spans="1:13" x14ac:dyDescent="0.35">
      <c r="A431" t="s">
        <v>197</v>
      </c>
      <c r="B431" t="s">
        <v>13</v>
      </c>
      <c r="C431" t="s">
        <v>149</v>
      </c>
      <c r="D431" t="s">
        <v>146</v>
      </c>
      <c r="E431" t="s">
        <v>206</v>
      </c>
      <c r="F431" t="s">
        <v>199</v>
      </c>
      <c r="G431" t="s">
        <v>18</v>
      </c>
      <c r="H431">
        <v>2</v>
      </c>
      <c r="I431">
        <v>0</v>
      </c>
      <c r="J431">
        <v>0</v>
      </c>
      <c r="K431">
        <v>183</v>
      </c>
      <c r="L431">
        <v>173</v>
      </c>
      <c r="M431">
        <v>1.1560693641618497E-2</v>
      </c>
    </row>
    <row r="432" spans="1:13" x14ac:dyDescent="0.35">
      <c r="A432" t="s">
        <v>197</v>
      </c>
      <c r="B432" t="s">
        <v>13</v>
      </c>
      <c r="C432" t="s">
        <v>150</v>
      </c>
      <c r="D432" t="s">
        <v>146</v>
      </c>
      <c r="E432" t="s">
        <v>206</v>
      </c>
      <c r="F432" t="s">
        <v>199</v>
      </c>
      <c r="G432" t="s">
        <v>18</v>
      </c>
      <c r="H432">
        <v>0</v>
      </c>
      <c r="I432">
        <v>0</v>
      </c>
      <c r="J432">
        <v>0</v>
      </c>
      <c r="K432">
        <v>76</v>
      </c>
      <c r="L432">
        <v>76</v>
      </c>
      <c r="M432">
        <v>0</v>
      </c>
    </row>
    <row r="433" spans="1:13" x14ac:dyDescent="0.35">
      <c r="A433" t="s">
        <v>197</v>
      </c>
      <c r="B433" t="s">
        <v>13</v>
      </c>
      <c r="C433" t="s">
        <v>151</v>
      </c>
      <c r="D433" t="s">
        <v>146</v>
      </c>
      <c r="E433" t="s">
        <v>206</v>
      </c>
      <c r="F433" t="s">
        <v>199</v>
      </c>
      <c r="G433" t="s">
        <v>18</v>
      </c>
      <c r="H433">
        <v>1</v>
      </c>
      <c r="I433">
        <v>0</v>
      </c>
      <c r="J433">
        <v>1</v>
      </c>
      <c r="K433">
        <v>39</v>
      </c>
      <c r="L433">
        <v>34</v>
      </c>
      <c r="M433">
        <v>2.9411764705882353E-2</v>
      </c>
    </row>
    <row r="434" spans="1:13" x14ac:dyDescent="0.35">
      <c r="A434" t="s">
        <v>197</v>
      </c>
      <c r="B434" t="s">
        <v>13</v>
      </c>
      <c r="C434" t="s">
        <v>152</v>
      </c>
      <c r="D434" t="s">
        <v>146</v>
      </c>
      <c r="E434" t="s">
        <v>206</v>
      </c>
      <c r="F434" t="s">
        <v>199</v>
      </c>
      <c r="G434" t="s">
        <v>18</v>
      </c>
      <c r="H434">
        <v>3</v>
      </c>
      <c r="I434">
        <v>0</v>
      </c>
      <c r="J434">
        <v>2</v>
      </c>
      <c r="K434">
        <v>19</v>
      </c>
      <c r="L434">
        <v>17</v>
      </c>
      <c r="M434">
        <v>0.17647058823529413</v>
      </c>
    </row>
    <row r="435" spans="1:13" x14ac:dyDescent="0.35">
      <c r="A435" t="s">
        <v>197</v>
      </c>
      <c r="B435" t="s">
        <v>13</v>
      </c>
      <c r="C435" t="s">
        <v>153</v>
      </c>
      <c r="D435" t="s">
        <v>146</v>
      </c>
      <c r="E435" t="s">
        <v>206</v>
      </c>
      <c r="F435" t="s">
        <v>199</v>
      </c>
      <c r="G435" t="s">
        <v>18</v>
      </c>
      <c r="H435">
        <v>0</v>
      </c>
      <c r="I435">
        <v>0</v>
      </c>
      <c r="J435">
        <v>0</v>
      </c>
      <c r="K435">
        <v>28</v>
      </c>
      <c r="L435">
        <v>28</v>
      </c>
      <c r="M435">
        <v>0</v>
      </c>
    </row>
    <row r="436" spans="1:13" x14ac:dyDescent="0.35">
      <c r="A436" t="s">
        <v>197</v>
      </c>
      <c r="B436" t="s">
        <v>13</v>
      </c>
      <c r="C436" t="s">
        <v>154</v>
      </c>
      <c r="D436" t="s">
        <v>146</v>
      </c>
      <c r="E436" t="s">
        <v>206</v>
      </c>
      <c r="F436" t="s">
        <v>199</v>
      </c>
      <c r="G436" t="s">
        <v>18</v>
      </c>
      <c r="H436">
        <v>1</v>
      </c>
      <c r="I436">
        <v>0</v>
      </c>
      <c r="J436">
        <v>1</v>
      </c>
      <c r="K436">
        <v>62</v>
      </c>
      <c r="L436">
        <v>44</v>
      </c>
      <c r="M436">
        <v>2.2727272727272728E-2</v>
      </c>
    </row>
    <row r="437" spans="1:13" x14ac:dyDescent="0.35">
      <c r="A437" t="s">
        <v>197</v>
      </c>
      <c r="B437" t="s">
        <v>13</v>
      </c>
      <c r="C437" t="s">
        <v>148</v>
      </c>
      <c r="D437" t="s">
        <v>146</v>
      </c>
      <c r="E437" t="s">
        <v>206</v>
      </c>
      <c r="F437" t="s">
        <v>199</v>
      </c>
      <c r="G437" t="s">
        <v>18</v>
      </c>
      <c r="H437">
        <v>6</v>
      </c>
      <c r="I437">
        <v>0</v>
      </c>
      <c r="J437">
        <v>4</v>
      </c>
      <c r="K437">
        <v>285</v>
      </c>
      <c r="L437">
        <v>275</v>
      </c>
      <c r="M437">
        <v>2.181818181818182E-2</v>
      </c>
    </row>
    <row r="438" spans="1:13" x14ac:dyDescent="0.35">
      <c r="A438" t="s">
        <v>197</v>
      </c>
      <c r="B438" t="s">
        <v>13</v>
      </c>
      <c r="C438" t="s">
        <v>155</v>
      </c>
      <c r="D438" t="s">
        <v>146</v>
      </c>
      <c r="E438" t="s">
        <v>206</v>
      </c>
      <c r="F438" t="s">
        <v>199</v>
      </c>
      <c r="G438" t="s">
        <v>18</v>
      </c>
      <c r="H438">
        <v>3</v>
      </c>
      <c r="I438">
        <v>0</v>
      </c>
      <c r="J438">
        <v>1</v>
      </c>
      <c r="K438">
        <v>172</v>
      </c>
      <c r="L438">
        <v>172</v>
      </c>
      <c r="M438">
        <v>1.7441860465116279E-2</v>
      </c>
    </row>
    <row r="439" spans="1:13" x14ac:dyDescent="0.35">
      <c r="A439" t="s">
        <v>197</v>
      </c>
      <c r="B439" t="s">
        <v>13</v>
      </c>
      <c r="C439" t="s">
        <v>156</v>
      </c>
      <c r="D439" t="s">
        <v>146</v>
      </c>
      <c r="E439" t="s">
        <v>206</v>
      </c>
      <c r="F439" t="s">
        <v>199</v>
      </c>
      <c r="G439" t="s">
        <v>18</v>
      </c>
      <c r="H439">
        <v>3</v>
      </c>
      <c r="I439">
        <v>0</v>
      </c>
      <c r="J439">
        <v>2</v>
      </c>
      <c r="K439">
        <v>35</v>
      </c>
      <c r="L439">
        <v>32</v>
      </c>
      <c r="M439">
        <v>9.375E-2</v>
      </c>
    </row>
    <row r="440" spans="1:13" x14ac:dyDescent="0.35">
      <c r="A440" t="s">
        <v>197</v>
      </c>
      <c r="B440" t="s">
        <v>13</v>
      </c>
      <c r="C440" t="s">
        <v>157</v>
      </c>
      <c r="D440" t="s">
        <v>146</v>
      </c>
      <c r="E440" t="s">
        <v>206</v>
      </c>
      <c r="F440" t="s">
        <v>199</v>
      </c>
      <c r="G440" t="s">
        <v>18</v>
      </c>
      <c r="H440">
        <v>2</v>
      </c>
      <c r="I440">
        <v>0</v>
      </c>
      <c r="J440">
        <v>0</v>
      </c>
      <c r="K440">
        <v>404</v>
      </c>
      <c r="L440">
        <v>403</v>
      </c>
      <c r="M440">
        <v>4.9627791563275434E-3</v>
      </c>
    </row>
    <row r="441" spans="1:13" x14ac:dyDescent="0.35">
      <c r="A441" t="s">
        <v>197</v>
      </c>
      <c r="B441" t="s">
        <v>13</v>
      </c>
      <c r="C441" t="s">
        <v>158</v>
      </c>
      <c r="D441" t="s">
        <v>146</v>
      </c>
      <c r="E441" t="s">
        <v>206</v>
      </c>
      <c r="F441" t="s">
        <v>199</v>
      </c>
      <c r="G441" t="s">
        <v>18</v>
      </c>
      <c r="H441">
        <v>2</v>
      </c>
      <c r="I441">
        <v>0</v>
      </c>
      <c r="J441">
        <v>2</v>
      </c>
      <c r="K441">
        <v>670</v>
      </c>
      <c r="L441">
        <v>670</v>
      </c>
      <c r="M441">
        <v>2.9850746268656717E-3</v>
      </c>
    </row>
    <row r="442" spans="1:13" x14ac:dyDescent="0.35">
      <c r="A442" t="s">
        <v>197</v>
      </c>
      <c r="B442" t="s">
        <v>13</v>
      </c>
      <c r="C442" t="s">
        <v>145</v>
      </c>
      <c r="D442" t="s">
        <v>146</v>
      </c>
      <c r="E442" t="s">
        <v>207</v>
      </c>
      <c r="F442" t="s">
        <v>199</v>
      </c>
      <c r="G442" t="s">
        <v>199</v>
      </c>
      <c r="H442">
        <v>1</v>
      </c>
      <c r="I442">
        <v>0</v>
      </c>
      <c r="J442">
        <v>0</v>
      </c>
      <c r="K442">
        <v>12</v>
      </c>
      <c r="L442">
        <v>10</v>
      </c>
      <c r="M442">
        <v>0.1</v>
      </c>
    </row>
    <row r="443" spans="1:13" x14ac:dyDescent="0.35">
      <c r="A443" t="s">
        <v>197</v>
      </c>
      <c r="B443" t="s">
        <v>13</v>
      </c>
      <c r="C443" t="s">
        <v>148</v>
      </c>
      <c r="D443" t="s">
        <v>146</v>
      </c>
      <c r="E443" t="s">
        <v>208</v>
      </c>
      <c r="F443" t="s">
        <v>199</v>
      </c>
      <c r="G443" t="s">
        <v>18</v>
      </c>
      <c r="H443">
        <v>13</v>
      </c>
      <c r="I443">
        <v>0</v>
      </c>
      <c r="J443">
        <v>5</v>
      </c>
      <c r="K443">
        <v>274</v>
      </c>
      <c r="L443">
        <v>262</v>
      </c>
      <c r="M443">
        <v>4.9618320610687022E-2</v>
      </c>
    </row>
    <row r="444" spans="1:13" x14ac:dyDescent="0.35">
      <c r="A444" t="s">
        <v>197</v>
      </c>
      <c r="B444" t="s">
        <v>13</v>
      </c>
      <c r="C444" t="s">
        <v>151</v>
      </c>
      <c r="D444" t="s">
        <v>146</v>
      </c>
      <c r="E444" t="s">
        <v>208</v>
      </c>
      <c r="F444" t="s">
        <v>199</v>
      </c>
      <c r="G444" t="s">
        <v>18</v>
      </c>
      <c r="H444">
        <v>0</v>
      </c>
      <c r="I444">
        <v>0</v>
      </c>
      <c r="J444">
        <v>0</v>
      </c>
      <c r="K444">
        <v>202</v>
      </c>
      <c r="L444">
        <v>193</v>
      </c>
      <c r="M444">
        <v>0</v>
      </c>
    </row>
    <row r="445" spans="1:13" x14ac:dyDescent="0.35">
      <c r="A445" t="s">
        <v>197</v>
      </c>
      <c r="B445" t="s">
        <v>13</v>
      </c>
      <c r="C445" t="s">
        <v>154</v>
      </c>
      <c r="D445" t="s">
        <v>146</v>
      </c>
      <c r="E445" t="s">
        <v>208</v>
      </c>
      <c r="F445" t="s">
        <v>199</v>
      </c>
      <c r="G445" t="s">
        <v>18</v>
      </c>
      <c r="H445">
        <v>0</v>
      </c>
      <c r="I445">
        <v>0</v>
      </c>
      <c r="J445">
        <v>0</v>
      </c>
      <c r="K445">
        <v>68</v>
      </c>
      <c r="L445">
        <v>50</v>
      </c>
      <c r="M445">
        <v>0</v>
      </c>
    </row>
    <row r="446" spans="1:13" x14ac:dyDescent="0.35">
      <c r="A446" t="s">
        <v>197</v>
      </c>
      <c r="B446" t="s">
        <v>13</v>
      </c>
      <c r="C446" t="s">
        <v>152</v>
      </c>
      <c r="D446" t="s">
        <v>146</v>
      </c>
      <c r="E446" t="s">
        <v>208</v>
      </c>
      <c r="F446" t="s">
        <v>199</v>
      </c>
      <c r="G446" t="s">
        <v>18</v>
      </c>
      <c r="H446">
        <v>7</v>
      </c>
      <c r="I446">
        <v>0</v>
      </c>
      <c r="J446">
        <v>3</v>
      </c>
      <c r="K446">
        <v>28</v>
      </c>
      <c r="L446">
        <v>25</v>
      </c>
      <c r="M446">
        <v>0.28000000000000003</v>
      </c>
    </row>
    <row r="447" spans="1:13" x14ac:dyDescent="0.35">
      <c r="A447" t="s">
        <v>197</v>
      </c>
      <c r="B447" t="s">
        <v>13</v>
      </c>
      <c r="C447" t="s">
        <v>153</v>
      </c>
      <c r="D447" t="s">
        <v>146</v>
      </c>
      <c r="E447" t="s">
        <v>208</v>
      </c>
      <c r="F447" t="s">
        <v>199</v>
      </c>
      <c r="G447" t="s">
        <v>18</v>
      </c>
      <c r="H447">
        <v>1</v>
      </c>
      <c r="I447">
        <v>0</v>
      </c>
      <c r="J447">
        <v>0</v>
      </c>
      <c r="K447">
        <v>51</v>
      </c>
      <c r="L447">
        <v>50</v>
      </c>
      <c r="M447">
        <v>0.02</v>
      </c>
    </row>
    <row r="448" spans="1:13" x14ac:dyDescent="0.35">
      <c r="A448" t="s">
        <v>197</v>
      </c>
      <c r="B448" t="s">
        <v>13</v>
      </c>
      <c r="C448" t="s">
        <v>155</v>
      </c>
      <c r="D448" t="s">
        <v>146</v>
      </c>
      <c r="E448" t="s">
        <v>208</v>
      </c>
      <c r="F448" t="s">
        <v>199</v>
      </c>
      <c r="G448" t="s">
        <v>18</v>
      </c>
      <c r="H448">
        <v>3</v>
      </c>
      <c r="I448">
        <v>0</v>
      </c>
      <c r="J448">
        <v>1</v>
      </c>
      <c r="K448">
        <v>144</v>
      </c>
      <c r="L448">
        <v>144</v>
      </c>
      <c r="M448">
        <v>2.0833333333333332E-2</v>
      </c>
    </row>
    <row r="449" spans="1:13" x14ac:dyDescent="0.35">
      <c r="A449" t="s">
        <v>197</v>
      </c>
      <c r="B449" t="s">
        <v>13</v>
      </c>
      <c r="C449" t="s">
        <v>156</v>
      </c>
      <c r="D449" t="s">
        <v>146</v>
      </c>
      <c r="E449" t="s">
        <v>208</v>
      </c>
      <c r="F449" t="s">
        <v>199</v>
      </c>
      <c r="G449" t="s">
        <v>18</v>
      </c>
      <c r="H449">
        <v>5</v>
      </c>
      <c r="I449">
        <v>0</v>
      </c>
      <c r="J449">
        <v>2</v>
      </c>
      <c r="K449">
        <v>39</v>
      </c>
      <c r="L449">
        <v>35</v>
      </c>
      <c r="M449">
        <v>0.14285714285714285</v>
      </c>
    </row>
    <row r="450" spans="1:13" x14ac:dyDescent="0.35">
      <c r="A450" t="s">
        <v>197</v>
      </c>
      <c r="B450" t="s">
        <v>13</v>
      </c>
      <c r="C450" t="s">
        <v>157</v>
      </c>
      <c r="D450" t="s">
        <v>146</v>
      </c>
      <c r="E450" t="s">
        <v>208</v>
      </c>
      <c r="F450" t="s">
        <v>199</v>
      </c>
      <c r="G450" t="s">
        <v>18</v>
      </c>
      <c r="H450">
        <v>6</v>
      </c>
      <c r="I450">
        <v>0</v>
      </c>
      <c r="J450">
        <v>0</v>
      </c>
      <c r="K450">
        <v>581</v>
      </c>
      <c r="L450">
        <v>564</v>
      </c>
      <c r="M450">
        <v>1.0638297872340425E-2</v>
      </c>
    </row>
    <row r="451" spans="1:13" x14ac:dyDescent="0.35">
      <c r="A451" t="s">
        <v>197</v>
      </c>
      <c r="B451" t="s">
        <v>13</v>
      </c>
      <c r="C451" t="s">
        <v>149</v>
      </c>
      <c r="D451" t="s">
        <v>146</v>
      </c>
      <c r="E451" t="s">
        <v>208</v>
      </c>
      <c r="F451" t="s">
        <v>199</v>
      </c>
      <c r="G451" t="s">
        <v>18</v>
      </c>
      <c r="H451">
        <v>3</v>
      </c>
      <c r="I451">
        <v>0</v>
      </c>
      <c r="J451">
        <v>0</v>
      </c>
      <c r="K451">
        <v>187</v>
      </c>
      <c r="L451">
        <v>179</v>
      </c>
      <c r="M451">
        <v>1.6759776536312849E-2</v>
      </c>
    </row>
    <row r="452" spans="1:13" x14ac:dyDescent="0.35">
      <c r="A452" t="s">
        <v>197</v>
      </c>
      <c r="B452" t="s">
        <v>13</v>
      </c>
      <c r="C452" t="s">
        <v>158</v>
      </c>
      <c r="D452" t="s">
        <v>146</v>
      </c>
      <c r="E452" t="s">
        <v>208</v>
      </c>
      <c r="F452" t="s">
        <v>199</v>
      </c>
      <c r="G452" t="s">
        <v>18</v>
      </c>
      <c r="H452">
        <v>4</v>
      </c>
      <c r="I452">
        <v>0</v>
      </c>
      <c r="J452">
        <v>2</v>
      </c>
      <c r="K452">
        <v>699</v>
      </c>
      <c r="L452">
        <v>699</v>
      </c>
      <c r="M452">
        <v>5.7224606580829757E-3</v>
      </c>
    </row>
    <row r="453" spans="1:13" x14ac:dyDescent="0.35">
      <c r="A453" t="s">
        <v>197</v>
      </c>
      <c r="B453" t="s">
        <v>13</v>
      </c>
      <c r="C453" t="s">
        <v>150</v>
      </c>
      <c r="D453" t="s">
        <v>146</v>
      </c>
      <c r="E453" t="s">
        <v>208</v>
      </c>
      <c r="F453" t="s">
        <v>199</v>
      </c>
      <c r="G453" t="s">
        <v>18</v>
      </c>
      <c r="H453">
        <v>0</v>
      </c>
      <c r="I453">
        <v>0</v>
      </c>
      <c r="J453">
        <v>0</v>
      </c>
      <c r="K453">
        <v>81</v>
      </c>
      <c r="L453">
        <v>81</v>
      </c>
      <c r="M453">
        <v>0</v>
      </c>
    </row>
    <row r="454" spans="1:13" x14ac:dyDescent="0.35">
      <c r="A454" t="s">
        <v>197</v>
      </c>
      <c r="B454" t="s">
        <v>36</v>
      </c>
      <c r="C454" t="s">
        <v>145</v>
      </c>
      <c r="D454" t="s">
        <v>146</v>
      </c>
      <c r="E454" t="s">
        <v>198</v>
      </c>
      <c r="F454" t="s">
        <v>199</v>
      </c>
      <c r="G454" t="s">
        <v>199</v>
      </c>
      <c r="H454">
        <v>8</v>
      </c>
      <c r="I454">
        <v>8</v>
      </c>
      <c r="J454">
        <v>0</v>
      </c>
      <c r="K454">
        <v>51</v>
      </c>
      <c r="L454">
        <v>46</v>
      </c>
      <c r="M454">
        <v>0.17391304347826086</v>
      </c>
    </row>
    <row r="455" spans="1:13" x14ac:dyDescent="0.35">
      <c r="A455" t="s">
        <v>197</v>
      </c>
      <c r="B455" t="s">
        <v>36</v>
      </c>
      <c r="C455" t="s">
        <v>150</v>
      </c>
      <c r="D455" t="s">
        <v>146</v>
      </c>
      <c r="E455" t="s">
        <v>198</v>
      </c>
      <c r="F455" t="s">
        <v>199</v>
      </c>
      <c r="G455" t="s">
        <v>18</v>
      </c>
      <c r="H455">
        <v>1</v>
      </c>
      <c r="I455">
        <v>1</v>
      </c>
      <c r="J455">
        <v>0</v>
      </c>
      <c r="K455">
        <v>5</v>
      </c>
      <c r="L455">
        <v>5</v>
      </c>
      <c r="M455">
        <v>0.2</v>
      </c>
    </row>
    <row r="456" spans="1:13" x14ac:dyDescent="0.35">
      <c r="A456" t="s">
        <v>197</v>
      </c>
      <c r="B456" t="s">
        <v>36</v>
      </c>
      <c r="C456" t="s">
        <v>151</v>
      </c>
      <c r="D456" t="s">
        <v>146</v>
      </c>
      <c r="E456" t="s">
        <v>198</v>
      </c>
      <c r="F456" t="s">
        <v>199</v>
      </c>
      <c r="G456" t="s">
        <v>18</v>
      </c>
      <c r="H456">
        <v>1</v>
      </c>
      <c r="I456">
        <v>1</v>
      </c>
      <c r="J456">
        <v>0</v>
      </c>
      <c r="K456">
        <v>19</v>
      </c>
      <c r="L456">
        <v>18</v>
      </c>
      <c r="M456">
        <v>5.5555555555555552E-2</v>
      </c>
    </row>
    <row r="457" spans="1:13" x14ac:dyDescent="0.35">
      <c r="A457" t="s">
        <v>197</v>
      </c>
      <c r="B457" t="s">
        <v>36</v>
      </c>
      <c r="C457" t="s">
        <v>152</v>
      </c>
      <c r="D457" t="s">
        <v>146</v>
      </c>
      <c r="E457" t="s">
        <v>198</v>
      </c>
      <c r="F457" t="s">
        <v>199</v>
      </c>
      <c r="G457" t="s">
        <v>18</v>
      </c>
      <c r="H457">
        <v>20</v>
      </c>
      <c r="I457">
        <v>20</v>
      </c>
      <c r="J457">
        <v>0</v>
      </c>
      <c r="K457">
        <v>240</v>
      </c>
      <c r="L457">
        <v>215</v>
      </c>
      <c r="M457">
        <v>9.3023255813953487E-2</v>
      </c>
    </row>
    <row r="458" spans="1:13" x14ac:dyDescent="0.35">
      <c r="A458" t="s">
        <v>197</v>
      </c>
      <c r="B458" t="s">
        <v>36</v>
      </c>
      <c r="C458" t="s">
        <v>153</v>
      </c>
      <c r="D458" t="s">
        <v>146</v>
      </c>
      <c r="E458" t="s">
        <v>198</v>
      </c>
      <c r="F458" t="s">
        <v>199</v>
      </c>
      <c r="G458" t="s">
        <v>18</v>
      </c>
      <c r="H458">
        <v>1</v>
      </c>
      <c r="I458">
        <v>1</v>
      </c>
      <c r="J458">
        <v>0</v>
      </c>
      <c r="K458">
        <v>5</v>
      </c>
      <c r="L458">
        <v>5</v>
      </c>
      <c r="M458">
        <v>0.2</v>
      </c>
    </row>
    <row r="459" spans="1:13" x14ac:dyDescent="0.35">
      <c r="A459" t="s">
        <v>197</v>
      </c>
      <c r="B459" t="s">
        <v>36</v>
      </c>
      <c r="C459" t="s">
        <v>154</v>
      </c>
      <c r="D459" t="s">
        <v>146</v>
      </c>
      <c r="E459" t="s">
        <v>198</v>
      </c>
      <c r="F459" t="s">
        <v>199</v>
      </c>
      <c r="G459" t="s">
        <v>18</v>
      </c>
      <c r="H459">
        <v>2</v>
      </c>
      <c r="I459">
        <v>2</v>
      </c>
      <c r="J459">
        <v>0</v>
      </c>
      <c r="K459">
        <v>18</v>
      </c>
      <c r="L459">
        <v>17</v>
      </c>
      <c r="M459">
        <v>0.11764705882352941</v>
      </c>
    </row>
    <row r="460" spans="1:13" x14ac:dyDescent="0.35">
      <c r="A460" t="s">
        <v>197</v>
      </c>
      <c r="B460" t="s">
        <v>36</v>
      </c>
      <c r="C460" t="s">
        <v>148</v>
      </c>
      <c r="D460" t="s">
        <v>146</v>
      </c>
      <c r="E460" t="s">
        <v>198</v>
      </c>
      <c r="F460" t="s">
        <v>199</v>
      </c>
      <c r="G460" t="s">
        <v>18</v>
      </c>
      <c r="H460">
        <v>7</v>
      </c>
      <c r="I460">
        <v>7</v>
      </c>
      <c r="J460">
        <v>0</v>
      </c>
      <c r="K460">
        <v>160</v>
      </c>
      <c r="L460">
        <v>157</v>
      </c>
      <c r="M460">
        <v>4.4585987261146494E-2</v>
      </c>
    </row>
    <row r="461" spans="1:13" x14ac:dyDescent="0.35">
      <c r="A461" t="s">
        <v>197</v>
      </c>
      <c r="B461" t="s">
        <v>36</v>
      </c>
      <c r="C461" t="s">
        <v>155</v>
      </c>
      <c r="D461" t="s">
        <v>146</v>
      </c>
      <c r="E461" t="s">
        <v>198</v>
      </c>
      <c r="F461" t="s">
        <v>199</v>
      </c>
      <c r="G461" t="s">
        <v>18</v>
      </c>
      <c r="H461">
        <v>2</v>
      </c>
      <c r="I461">
        <v>2</v>
      </c>
      <c r="J461">
        <v>0</v>
      </c>
      <c r="K461">
        <v>9</v>
      </c>
      <c r="L461">
        <v>9</v>
      </c>
      <c r="M461">
        <v>0.22222222222222221</v>
      </c>
    </row>
    <row r="462" spans="1:13" x14ac:dyDescent="0.35">
      <c r="A462" t="s">
        <v>197</v>
      </c>
      <c r="B462" t="s">
        <v>36</v>
      </c>
      <c r="C462" t="s">
        <v>156</v>
      </c>
      <c r="D462" t="s">
        <v>146</v>
      </c>
      <c r="E462" t="s">
        <v>198</v>
      </c>
      <c r="F462" t="s">
        <v>199</v>
      </c>
      <c r="G462" t="s">
        <v>18</v>
      </c>
      <c r="H462">
        <v>2</v>
      </c>
      <c r="I462">
        <v>2</v>
      </c>
      <c r="J462">
        <v>0</v>
      </c>
      <c r="K462">
        <v>9</v>
      </c>
      <c r="L462">
        <v>9</v>
      </c>
      <c r="M462">
        <v>0.22222222222222221</v>
      </c>
    </row>
    <row r="463" spans="1:13" x14ac:dyDescent="0.35">
      <c r="A463" t="s">
        <v>197</v>
      </c>
      <c r="B463" t="s">
        <v>36</v>
      </c>
      <c r="C463" t="s">
        <v>157</v>
      </c>
      <c r="D463" t="s">
        <v>146</v>
      </c>
      <c r="E463" t="s">
        <v>198</v>
      </c>
      <c r="F463" t="s">
        <v>199</v>
      </c>
      <c r="G463" t="s">
        <v>18</v>
      </c>
      <c r="H463">
        <v>0</v>
      </c>
      <c r="I463">
        <v>0</v>
      </c>
      <c r="J463">
        <v>0</v>
      </c>
      <c r="K463">
        <v>13</v>
      </c>
      <c r="L463">
        <v>11</v>
      </c>
      <c r="M463">
        <v>0</v>
      </c>
    </row>
    <row r="464" spans="1:13" x14ac:dyDescent="0.35">
      <c r="A464" t="s">
        <v>197</v>
      </c>
      <c r="B464" t="s">
        <v>36</v>
      </c>
      <c r="C464" t="s">
        <v>158</v>
      </c>
      <c r="D464" t="s">
        <v>146</v>
      </c>
      <c r="E464" t="s">
        <v>198</v>
      </c>
      <c r="F464" t="s">
        <v>199</v>
      </c>
      <c r="G464" t="s">
        <v>18</v>
      </c>
      <c r="H464">
        <v>2</v>
      </c>
      <c r="I464">
        <v>2</v>
      </c>
      <c r="J464">
        <v>0</v>
      </c>
      <c r="K464">
        <v>42</v>
      </c>
      <c r="L464">
        <v>40</v>
      </c>
      <c r="M464">
        <v>0.05</v>
      </c>
    </row>
    <row r="465" spans="1:13" x14ac:dyDescent="0.35">
      <c r="A465" t="s">
        <v>197</v>
      </c>
      <c r="B465" t="s">
        <v>36</v>
      </c>
      <c r="C465" t="s">
        <v>150</v>
      </c>
      <c r="D465" t="s">
        <v>146</v>
      </c>
      <c r="E465" t="s">
        <v>200</v>
      </c>
      <c r="F465" t="s">
        <v>199</v>
      </c>
      <c r="G465" t="s">
        <v>20</v>
      </c>
      <c r="H465">
        <v>2</v>
      </c>
      <c r="I465">
        <v>2</v>
      </c>
      <c r="J465">
        <v>0</v>
      </c>
      <c r="K465">
        <v>7</v>
      </c>
      <c r="L465">
        <v>6</v>
      </c>
      <c r="M465">
        <v>0.33333333333333331</v>
      </c>
    </row>
    <row r="466" spans="1:13" x14ac:dyDescent="0.35">
      <c r="A466" t="s">
        <v>197</v>
      </c>
      <c r="B466" t="s">
        <v>36</v>
      </c>
      <c r="C466" t="s">
        <v>151</v>
      </c>
      <c r="D466" t="s">
        <v>146</v>
      </c>
      <c r="E466" t="s">
        <v>200</v>
      </c>
      <c r="F466" t="s">
        <v>199</v>
      </c>
      <c r="G466" t="s">
        <v>20</v>
      </c>
      <c r="H466">
        <v>2</v>
      </c>
      <c r="I466">
        <v>2</v>
      </c>
      <c r="J466">
        <v>0</v>
      </c>
      <c r="K466">
        <v>22</v>
      </c>
      <c r="L466">
        <v>21</v>
      </c>
      <c r="M466">
        <v>9.5238095238095233E-2</v>
      </c>
    </row>
    <row r="467" spans="1:13" x14ac:dyDescent="0.35">
      <c r="A467" t="s">
        <v>197</v>
      </c>
      <c r="B467" t="s">
        <v>36</v>
      </c>
      <c r="C467" t="s">
        <v>152</v>
      </c>
      <c r="D467" t="s">
        <v>146</v>
      </c>
      <c r="E467" t="s">
        <v>200</v>
      </c>
      <c r="F467" t="s">
        <v>199</v>
      </c>
      <c r="G467" t="s">
        <v>20</v>
      </c>
      <c r="H467">
        <v>21</v>
      </c>
      <c r="I467">
        <v>21</v>
      </c>
      <c r="J467">
        <v>0</v>
      </c>
      <c r="K467">
        <v>227</v>
      </c>
      <c r="L467">
        <v>210</v>
      </c>
      <c r="M467">
        <v>0.1</v>
      </c>
    </row>
    <row r="468" spans="1:13" x14ac:dyDescent="0.35">
      <c r="A468" t="s">
        <v>197</v>
      </c>
      <c r="B468" t="s">
        <v>36</v>
      </c>
      <c r="C468" t="s">
        <v>153</v>
      </c>
      <c r="D468" t="s">
        <v>146</v>
      </c>
      <c r="E468" t="s">
        <v>200</v>
      </c>
      <c r="F468" t="s">
        <v>199</v>
      </c>
      <c r="G468" t="s">
        <v>20</v>
      </c>
      <c r="H468">
        <v>1</v>
      </c>
      <c r="I468">
        <v>1</v>
      </c>
      <c r="J468">
        <v>0</v>
      </c>
      <c r="K468">
        <v>3</v>
      </c>
      <c r="L468">
        <v>3</v>
      </c>
      <c r="M468">
        <v>0.33333333333333331</v>
      </c>
    </row>
    <row r="469" spans="1:13" x14ac:dyDescent="0.35">
      <c r="A469" t="s">
        <v>197</v>
      </c>
      <c r="B469" t="s">
        <v>36</v>
      </c>
      <c r="C469" t="s">
        <v>154</v>
      </c>
      <c r="D469" t="s">
        <v>146</v>
      </c>
      <c r="E469" t="s">
        <v>200</v>
      </c>
      <c r="F469" t="s">
        <v>199</v>
      </c>
      <c r="G469" t="s">
        <v>20</v>
      </c>
      <c r="H469">
        <v>1</v>
      </c>
      <c r="I469">
        <v>1</v>
      </c>
      <c r="J469">
        <v>0</v>
      </c>
      <c r="K469">
        <v>22</v>
      </c>
      <c r="L469">
        <v>20</v>
      </c>
      <c r="M469">
        <v>0.05</v>
      </c>
    </row>
    <row r="470" spans="1:13" x14ac:dyDescent="0.35">
      <c r="A470" t="s">
        <v>197</v>
      </c>
      <c r="B470" t="s">
        <v>36</v>
      </c>
      <c r="C470" t="s">
        <v>148</v>
      </c>
      <c r="D470" t="s">
        <v>146</v>
      </c>
      <c r="E470" t="s">
        <v>200</v>
      </c>
      <c r="F470" t="s">
        <v>199</v>
      </c>
      <c r="G470" t="s">
        <v>20</v>
      </c>
      <c r="H470">
        <v>19</v>
      </c>
      <c r="I470">
        <v>19</v>
      </c>
      <c r="J470">
        <v>0</v>
      </c>
      <c r="K470">
        <v>239</v>
      </c>
      <c r="L470">
        <v>224</v>
      </c>
      <c r="M470">
        <v>8.4821428571428575E-2</v>
      </c>
    </row>
    <row r="471" spans="1:13" x14ac:dyDescent="0.35">
      <c r="A471" t="s">
        <v>197</v>
      </c>
      <c r="B471" t="s">
        <v>36</v>
      </c>
      <c r="C471" t="s">
        <v>155</v>
      </c>
      <c r="D471" t="s">
        <v>146</v>
      </c>
      <c r="E471" t="s">
        <v>200</v>
      </c>
      <c r="F471" t="s">
        <v>199</v>
      </c>
      <c r="G471" t="s">
        <v>20</v>
      </c>
      <c r="H471">
        <v>2</v>
      </c>
      <c r="I471">
        <v>2</v>
      </c>
      <c r="J471">
        <v>0</v>
      </c>
      <c r="K471">
        <v>8</v>
      </c>
      <c r="L471">
        <v>7</v>
      </c>
      <c r="M471">
        <v>0.2857142857142857</v>
      </c>
    </row>
    <row r="472" spans="1:13" x14ac:dyDescent="0.35">
      <c r="A472" t="s">
        <v>197</v>
      </c>
      <c r="B472" t="s">
        <v>36</v>
      </c>
      <c r="C472" t="s">
        <v>156</v>
      </c>
      <c r="D472" t="s">
        <v>146</v>
      </c>
      <c r="E472" t="s">
        <v>200</v>
      </c>
      <c r="F472" t="s">
        <v>199</v>
      </c>
      <c r="G472" t="s">
        <v>20</v>
      </c>
      <c r="H472">
        <v>2</v>
      </c>
      <c r="I472">
        <v>2</v>
      </c>
      <c r="J472">
        <v>0</v>
      </c>
      <c r="K472">
        <v>10</v>
      </c>
      <c r="L472">
        <v>9</v>
      </c>
      <c r="M472">
        <v>0.22222222222222221</v>
      </c>
    </row>
    <row r="473" spans="1:13" x14ac:dyDescent="0.35">
      <c r="A473" t="s">
        <v>197</v>
      </c>
      <c r="B473" t="s">
        <v>36</v>
      </c>
      <c r="C473" t="s">
        <v>157</v>
      </c>
      <c r="D473" t="s">
        <v>146</v>
      </c>
      <c r="E473" t="s">
        <v>200</v>
      </c>
      <c r="F473" t="s">
        <v>199</v>
      </c>
      <c r="G473" t="s">
        <v>20</v>
      </c>
      <c r="H473">
        <v>1</v>
      </c>
      <c r="I473">
        <v>1</v>
      </c>
      <c r="J473">
        <v>0</v>
      </c>
      <c r="K473">
        <v>12</v>
      </c>
      <c r="L473">
        <v>11</v>
      </c>
      <c r="M473">
        <v>9.0909090909090912E-2</v>
      </c>
    </row>
    <row r="474" spans="1:13" x14ac:dyDescent="0.35">
      <c r="A474" t="s">
        <v>197</v>
      </c>
      <c r="B474" t="s">
        <v>36</v>
      </c>
      <c r="C474" t="s">
        <v>158</v>
      </c>
      <c r="D474" t="s">
        <v>146</v>
      </c>
      <c r="E474" t="s">
        <v>200</v>
      </c>
      <c r="F474" t="s">
        <v>199</v>
      </c>
      <c r="G474" t="s">
        <v>20</v>
      </c>
      <c r="H474">
        <v>6</v>
      </c>
      <c r="I474">
        <v>6</v>
      </c>
      <c r="J474">
        <v>0</v>
      </c>
      <c r="K474">
        <v>56</v>
      </c>
      <c r="L474">
        <v>54</v>
      </c>
      <c r="M474">
        <v>0.1111111111111111</v>
      </c>
    </row>
    <row r="475" spans="1:13" x14ac:dyDescent="0.35">
      <c r="A475" t="s">
        <v>197</v>
      </c>
      <c r="B475" t="s">
        <v>36</v>
      </c>
      <c r="C475" t="s">
        <v>148</v>
      </c>
      <c r="D475" t="s">
        <v>146</v>
      </c>
      <c r="E475" t="s">
        <v>201</v>
      </c>
      <c r="F475" t="s">
        <v>199</v>
      </c>
      <c r="G475" t="s">
        <v>17</v>
      </c>
      <c r="H475">
        <v>11</v>
      </c>
      <c r="I475">
        <v>10</v>
      </c>
      <c r="J475">
        <v>0</v>
      </c>
      <c r="K475">
        <v>94</v>
      </c>
      <c r="L475">
        <v>91</v>
      </c>
      <c r="M475">
        <v>0.12087912087912088</v>
      </c>
    </row>
    <row r="476" spans="1:13" x14ac:dyDescent="0.35">
      <c r="A476" t="s">
        <v>197</v>
      </c>
      <c r="B476" t="s">
        <v>36</v>
      </c>
      <c r="C476" t="s">
        <v>150</v>
      </c>
      <c r="D476" t="s">
        <v>146</v>
      </c>
      <c r="E476" t="s">
        <v>202</v>
      </c>
      <c r="F476" t="s">
        <v>199</v>
      </c>
      <c r="G476" t="s">
        <v>17</v>
      </c>
      <c r="H476">
        <v>0</v>
      </c>
      <c r="I476">
        <v>0</v>
      </c>
      <c r="J476">
        <v>0</v>
      </c>
      <c r="K476">
        <v>5</v>
      </c>
      <c r="L476">
        <v>4</v>
      </c>
      <c r="M476">
        <v>0</v>
      </c>
    </row>
    <row r="477" spans="1:13" x14ac:dyDescent="0.35">
      <c r="A477" t="s">
        <v>197</v>
      </c>
      <c r="B477" t="s">
        <v>36</v>
      </c>
      <c r="C477" t="s">
        <v>151</v>
      </c>
      <c r="D477" t="s">
        <v>146</v>
      </c>
      <c r="E477" t="s">
        <v>202</v>
      </c>
      <c r="F477" t="s">
        <v>199</v>
      </c>
      <c r="G477" t="s">
        <v>17</v>
      </c>
      <c r="H477">
        <v>0</v>
      </c>
      <c r="I477">
        <v>0</v>
      </c>
      <c r="J477">
        <v>0</v>
      </c>
      <c r="K477">
        <v>6</v>
      </c>
      <c r="L477">
        <v>6</v>
      </c>
      <c r="M477">
        <v>0</v>
      </c>
    </row>
    <row r="478" spans="1:13" x14ac:dyDescent="0.35">
      <c r="A478" t="s">
        <v>197</v>
      </c>
      <c r="B478" t="s">
        <v>36</v>
      </c>
      <c r="C478" t="s">
        <v>152</v>
      </c>
      <c r="D478" t="s">
        <v>146</v>
      </c>
      <c r="E478" t="s">
        <v>202</v>
      </c>
      <c r="F478" t="s">
        <v>199</v>
      </c>
      <c r="G478" t="s">
        <v>17</v>
      </c>
      <c r="H478">
        <v>13</v>
      </c>
      <c r="I478">
        <v>13</v>
      </c>
      <c r="J478">
        <v>0</v>
      </c>
      <c r="K478">
        <v>218</v>
      </c>
      <c r="L478">
        <v>188</v>
      </c>
      <c r="M478">
        <v>6.9148936170212769E-2</v>
      </c>
    </row>
    <row r="479" spans="1:13" x14ac:dyDescent="0.35">
      <c r="A479" t="s">
        <v>197</v>
      </c>
      <c r="B479" t="s">
        <v>36</v>
      </c>
      <c r="C479" t="s">
        <v>153</v>
      </c>
      <c r="D479" t="s">
        <v>146</v>
      </c>
      <c r="E479" t="s">
        <v>202</v>
      </c>
      <c r="F479" t="s">
        <v>199</v>
      </c>
      <c r="G479" t="s">
        <v>17</v>
      </c>
      <c r="H479">
        <v>1</v>
      </c>
      <c r="I479">
        <v>1</v>
      </c>
      <c r="J479">
        <v>0</v>
      </c>
      <c r="K479">
        <v>4</v>
      </c>
      <c r="L479">
        <v>4</v>
      </c>
      <c r="M479">
        <v>0.25</v>
      </c>
    </row>
    <row r="480" spans="1:13" x14ac:dyDescent="0.35">
      <c r="A480" t="s">
        <v>197</v>
      </c>
      <c r="B480" t="s">
        <v>36</v>
      </c>
      <c r="C480" t="s">
        <v>154</v>
      </c>
      <c r="D480" t="s">
        <v>146</v>
      </c>
      <c r="E480" t="s">
        <v>202</v>
      </c>
      <c r="F480" t="s">
        <v>199</v>
      </c>
      <c r="G480" t="s">
        <v>17</v>
      </c>
      <c r="H480">
        <v>0</v>
      </c>
      <c r="I480">
        <v>0</v>
      </c>
      <c r="J480">
        <v>0</v>
      </c>
      <c r="K480">
        <v>15</v>
      </c>
      <c r="L480">
        <v>15</v>
      </c>
      <c r="M480">
        <v>0</v>
      </c>
    </row>
    <row r="481" spans="1:13" x14ac:dyDescent="0.35">
      <c r="A481" t="s">
        <v>197</v>
      </c>
      <c r="B481" t="s">
        <v>36</v>
      </c>
      <c r="C481" t="s">
        <v>155</v>
      </c>
      <c r="D481" t="s">
        <v>146</v>
      </c>
      <c r="E481" t="s">
        <v>202</v>
      </c>
      <c r="F481" t="s">
        <v>199</v>
      </c>
      <c r="G481" t="s">
        <v>17</v>
      </c>
      <c r="H481">
        <v>2</v>
      </c>
      <c r="I481">
        <v>2</v>
      </c>
      <c r="J481">
        <v>0</v>
      </c>
      <c r="K481">
        <v>8</v>
      </c>
      <c r="L481">
        <v>8</v>
      </c>
      <c r="M481">
        <v>0.25</v>
      </c>
    </row>
    <row r="482" spans="1:13" x14ac:dyDescent="0.35">
      <c r="A482" t="s">
        <v>197</v>
      </c>
      <c r="B482" t="s">
        <v>36</v>
      </c>
      <c r="C482" t="s">
        <v>156</v>
      </c>
      <c r="D482" t="s">
        <v>146</v>
      </c>
      <c r="E482" t="s">
        <v>202</v>
      </c>
      <c r="F482" t="s">
        <v>199</v>
      </c>
      <c r="G482" t="s">
        <v>17</v>
      </c>
      <c r="H482">
        <v>1</v>
      </c>
      <c r="I482">
        <v>1</v>
      </c>
      <c r="J482">
        <v>0</v>
      </c>
      <c r="K482">
        <v>11</v>
      </c>
      <c r="L482">
        <v>10</v>
      </c>
      <c r="M482">
        <v>0.1</v>
      </c>
    </row>
    <row r="483" spans="1:13" x14ac:dyDescent="0.35">
      <c r="A483" t="s">
        <v>197</v>
      </c>
      <c r="B483" t="s">
        <v>36</v>
      </c>
      <c r="C483" t="s">
        <v>157</v>
      </c>
      <c r="D483" t="s">
        <v>146</v>
      </c>
      <c r="E483" t="s">
        <v>202</v>
      </c>
      <c r="F483" t="s">
        <v>199</v>
      </c>
      <c r="G483" t="s">
        <v>17</v>
      </c>
      <c r="H483">
        <v>0</v>
      </c>
      <c r="I483">
        <v>0</v>
      </c>
      <c r="J483">
        <v>0</v>
      </c>
      <c r="K483">
        <v>12</v>
      </c>
      <c r="L483">
        <v>11</v>
      </c>
      <c r="M483">
        <v>0</v>
      </c>
    </row>
    <row r="484" spans="1:13" x14ac:dyDescent="0.35">
      <c r="A484" t="s">
        <v>197</v>
      </c>
      <c r="B484" t="s">
        <v>36</v>
      </c>
      <c r="C484" t="s">
        <v>158</v>
      </c>
      <c r="D484" t="s">
        <v>146</v>
      </c>
      <c r="E484" t="s">
        <v>202</v>
      </c>
      <c r="F484" t="s">
        <v>199</v>
      </c>
      <c r="G484" t="s">
        <v>17</v>
      </c>
      <c r="H484">
        <v>4</v>
      </c>
      <c r="I484">
        <v>4</v>
      </c>
      <c r="J484">
        <v>0</v>
      </c>
      <c r="K484">
        <v>38</v>
      </c>
      <c r="L484">
        <v>37</v>
      </c>
      <c r="M484">
        <v>0.10810810810810811</v>
      </c>
    </row>
    <row r="485" spans="1:13" x14ac:dyDescent="0.35">
      <c r="A485" t="s">
        <v>197</v>
      </c>
      <c r="B485" t="s">
        <v>36</v>
      </c>
      <c r="C485" t="s">
        <v>145</v>
      </c>
      <c r="D485" t="s">
        <v>146</v>
      </c>
      <c r="E485" t="s">
        <v>203</v>
      </c>
      <c r="F485" t="s">
        <v>199</v>
      </c>
      <c r="G485" t="s">
        <v>199</v>
      </c>
      <c r="H485">
        <v>6</v>
      </c>
      <c r="I485">
        <v>5</v>
      </c>
      <c r="J485">
        <v>0</v>
      </c>
      <c r="K485">
        <v>44</v>
      </c>
      <c r="L485">
        <v>39</v>
      </c>
      <c r="M485">
        <v>0.15384615384615385</v>
      </c>
    </row>
    <row r="486" spans="1:13" x14ac:dyDescent="0.35">
      <c r="A486" t="s">
        <v>197</v>
      </c>
      <c r="B486" t="s">
        <v>36</v>
      </c>
      <c r="C486" t="s">
        <v>150</v>
      </c>
      <c r="D486" t="s">
        <v>146</v>
      </c>
      <c r="E486" t="s">
        <v>204</v>
      </c>
      <c r="F486" t="s">
        <v>199</v>
      </c>
      <c r="G486" t="s">
        <v>17</v>
      </c>
      <c r="H486">
        <v>0</v>
      </c>
      <c r="I486">
        <v>0</v>
      </c>
      <c r="J486">
        <v>0</v>
      </c>
      <c r="K486">
        <v>6</v>
      </c>
      <c r="L486">
        <v>6</v>
      </c>
      <c r="M486">
        <v>0</v>
      </c>
    </row>
    <row r="487" spans="1:13" x14ac:dyDescent="0.35">
      <c r="A487" t="s">
        <v>197</v>
      </c>
      <c r="B487" t="s">
        <v>36</v>
      </c>
      <c r="C487" t="s">
        <v>151</v>
      </c>
      <c r="D487" t="s">
        <v>146</v>
      </c>
      <c r="E487" t="s">
        <v>204</v>
      </c>
      <c r="F487" t="s">
        <v>199</v>
      </c>
      <c r="G487" t="s">
        <v>17</v>
      </c>
      <c r="H487">
        <v>0</v>
      </c>
      <c r="I487">
        <v>0</v>
      </c>
      <c r="J487">
        <v>0</v>
      </c>
      <c r="K487">
        <v>14</v>
      </c>
      <c r="L487">
        <v>11</v>
      </c>
      <c r="M487">
        <v>0</v>
      </c>
    </row>
    <row r="488" spans="1:13" x14ac:dyDescent="0.35">
      <c r="A488" t="s">
        <v>197</v>
      </c>
      <c r="B488" t="s">
        <v>36</v>
      </c>
      <c r="C488" t="s">
        <v>152</v>
      </c>
      <c r="D488" t="s">
        <v>146</v>
      </c>
      <c r="E488" t="s">
        <v>204</v>
      </c>
      <c r="F488" t="s">
        <v>199</v>
      </c>
      <c r="G488" t="s">
        <v>17</v>
      </c>
      <c r="H488">
        <v>16</v>
      </c>
      <c r="I488">
        <v>16</v>
      </c>
      <c r="J488">
        <v>0</v>
      </c>
      <c r="K488">
        <v>126</v>
      </c>
      <c r="L488">
        <v>112</v>
      </c>
      <c r="M488">
        <v>0.14285714285714285</v>
      </c>
    </row>
    <row r="489" spans="1:13" x14ac:dyDescent="0.35">
      <c r="A489" t="s">
        <v>197</v>
      </c>
      <c r="B489" t="s">
        <v>36</v>
      </c>
      <c r="C489" t="s">
        <v>153</v>
      </c>
      <c r="D489" t="s">
        <v>146</v>
      </c>
      <c r="E489" t="s">
        <v>204</v>
      </c>
      <c r="F489" t="s">
        <v>199</v>
      </c>
      <c r="G489" t="s">
        <v>17</v>
      </c>
      <c r="H489">
        <v>0</v>
      </c>
      <c r="I489">
        <v>0</v>
      </c>
      <c r="J489">
        <v>0</v>
      </c>
      <c r="K489">
        <v>4</v>
      </c>
      <c r="L489">
        <v>4</v>
      </c>
      <c r="M489">
        <v>0</v>
      </c>
    </row>
    <row r="490" spans="1:13" x14ac:dyDescent="0.35">
      <c r="A490" t="s">
        <v>197</v>
      </c>
      <c r="B490" t="s">
        <v>36</v>
      </c>
      <c r="C490" t="s">
        <v>154</v>
      </c>
      <c r="D490" t="s">
        <v>146</v>
      </c>
      <c r="E490" t="s">
        <v>204</v>
      </c>
      <c r="F490" t="s">
        <v>199</v>
      </c>
      <c r="G490" t="s">
        <v>17</v>
      </c>
      <c r="H490">
        <v>1</v>
      </c>
      <c r="I490">
        <v>1</v>
      </c>
      <c r="J490">
        <v>0</v>
      </c>
      <c r="K490">
        <v>20</v>
      </c>
      <c r="L490">
        <v>19</v>
      </c>
      <c r="M490">
        <v>5.2631578947368418E-2</v>
      </c>
    </row>
    <row r="491" spans="1:13" x14ac:dyDescent="0.35">
      <c r="A491" t="s">
        <v>197</v>
      </c>
      <c r="B491" t="s">
        <v>36</v>
      </c>
      <c r="C491" t="s">
        <v>155</v>
      </c>
      <c r="D491" t="s">
        <v>146</v>
      </c>
      <c r="E491" t="s">
        <v>204</v>
      </c>
      <c r="F491" t="s">
        <v>199</v>
      </c>
      <c r="G491" t="s">
        <v>17</v>
      </c>
      <c r="H491">
        <v>1</v>
      </c>
      <c r="I491">
        <v>1</v>
      </c>
      <c r="J491">
        <v>0</v>
      </c>
      <c r="K491">
        <v>8</v>
      </c>
      <c r="L491">
        <v>4</v>
      </c>
      <c r="M491">
        <v>0.25</v>
      </c>
    </row>
    <row r="492" spans="1:13" x14ac:dyDescent="0.35">
      <c r="A492" t="s">
        <v>197</v>
      </c>
      <c r="B492" t="s">
        <v>36</v>
      </c>
      <c r="C492" t="s">
        <v>156</v>
      </c>
      <c r="D492" t="s">
        <v>146</v>
      </c>
      <c r="E492" t="s">
        <v>204</v>
      </c>
      <c r="F492" t="s">
        <v>199</v>
      </c>
      <c r="G492" t="s">
        <v>17</v>
      </c>
      <c r="H492">
        <v>1</v>
      </c>
      <c r="I492">
        <v>1</v>
      </c>
      <c r="J492">
        <v>0</v>
      </c>
      <c r="K492">
        <v>9</v>
      </c>
      <c r="L492">
        <v>9</v>
      </c>
      <c r="M492">
        <v>0.1111111111111111</v>
      </c>
    </row>
    <row r="493" spans="1:13" x14ac:dyDescent="0.35">
      <c r="A493" t="s">
        <v>197</v>
      </c>
      <c r="B493" t="s">
        <v>36</v>
      </c>
      <c r="C493" t="s">
        <v>157</v>
      </c>
      <c r="D493" t="s">
        <v>146</v>
      </c>
      <c r="E493" t="s">
        <v>204</v>
      </c>
      <c r="F493" t="s">
        <v>199</v>
      </c>
      <c r="G493" t="s">
        <v>17</v>
      </c>
      <c r="H493">
        <v>0</v>
      </c>
      <c r="I493">
        <v>0</v>
      </c>
      <c r="J493">
        <v>0</v>
      </c>
      <c r="K493">
        <v>12</v>
      </c>
      <c r="L493">
        <v>8</v>
      </c>
      <c r="M493">
        <v>0</v>
      </c>
    </row>
    <row r="494" spans="1:13" x14ac:dyDescent="0.35">
      <c r="A494" t="s">
        <v>197</v>
      </c>
      <c r="B494" t="s">
        <v>36</v>
      </c>
      <c r="C494" t="s">
        <v>158</v>
      </c>
      <c r="D494" t="s">
        <v>146</v>
      </c>
      <c r="E494" t="s">
        <v>204</v>
      </c>
      <c r="F494" t="s">
        <v>199</v>
      </c>
      <c r="G494" t="s">
        <v>17</v>
      </c>
      <c r="H494">
        <v>3</v>
      </c>
      <c r="I494">
        <v>3</v>
      </c>
      <c r="J494">
        <v>0</v>
      </c>
      <c r="K494">
        <v>42</v>
      </c>
      <c r="L494">
        <v>41</v>
      </c>
      <c r="M494">
        <v>7.3170731707317069E-2</v>
      </c>
    </row>
    <row r="495" spans="1:13" x14ac:dyDescent="0.35">
      <c r="A495" t="s">
        <v>197</v>
      </c>
      <c r="B495" t="s">
        <v>36</v>
      </c>
      <c r="C495" t="s">
        <v>148</v>
      </c>
      <c r="D495" t="s">
        <v>146</v>
      </c>
      <c r="E495" t="s">
        <v>204</v>
      </c>
      <c r="F495" t="s">
        <v>199</v>
      </c>
      <c r="G495" t="s">
        <v>17</v>
      </c>
      <c r="H495">
        <v>13</v>
      </c>
      <c r="I495">
        <v>12</v>
      </c>
      <c r="J495">
        <v>0</v>
      </c>
      <c r="K495">
        <v>169</v>
      </c>
      <c r="L495">
        <v>157</v>
      </c>
      <c r="M495">
        <v>8.2802547770700632E-2</v>
      </c>
    </row>
    <row r="496" spans="1:13" x14ac:dyDescent="0.35">
      <c r="A496" t="s">
        <v>197</v>
      </c>
      <c r="B496" t="s">
        <v>36</v>
      </c>
      <c r="C496" t="s">
        <v>157</v>
      </c>
      <c r="D496" t="s">
        <v>146</v>
      </c>
      <c r="E496" t="s">
        <v>205</v>
      </c>
      <c r="F496" t="s">
        <v>199</v>
      </c>
      <c r="G496" t="s">
        <v>181</v>
      </c>
      <c r="H496">
        <v>0</v>
      </c>
      <c r="I496">
        <v>0</v>
      </c>
      <c r="J496">
        <v>0</v>
      </c>
      <c r="K496">
        <v>9</v>
      </c>
      <c r="L496">
        <v>9</v>
      </c>
      <c r="M496">
        <v>0</v>
      </c>
    </row>
    <row r="497" spans="1:13" x14ac:dyDescent="0.35">
      <c r="A497" t="s">
        <v>197</v>
      </c>
      <c r="B497" t="s">
        <v>36</v>
      </c>
      <c r="C497" t="s">
        <v>150</v>
      </c>
      <c r="D497" t="s">
        <v>146</v>
      </c>
      <c r="E497" t="s">
        <v>206</v>
      </c>
      <c r="F497" t="s">
        <v>199</v>
      </c>
      <c r="G497" t="s">
        <v>18</v>
      </c>
      <c r="H497">
        <v>3</v>
      </c>
      <c r="I497">
        <v>2</v>
      </c>
      <c r="J497">
        <v>0</v>
      </c>
      <c r="K497">
        <v>10</v>
      </c>
      <c r="L497">
        <v>9</v>
      </c>
      <c r="M497">
        <v>0.33333333333333331</v>
      </c>
    </row>
    <row r="498" spans="1:13" x14ac:dyDescent="0.35">
      <c r="A498" t="s">
        <v>197</v>
      </c>
      <c r="B498" t="s">
        <v>36</v>
      </c>
      <c r="C498" t="s">
        <v>151</v>
      </c>
      <c r="D498" t="s">
        <v>146</v>
      </c>
      <c r="E498" t="s">
        <v>206</v>
      </c>
      <c r="F498" t="s">
        <v>199</v>
      </c>
      <c r="G498" t="s">
        <v>18</v>
      </c>
      <c r="H498">
        <v>0</v>
      </c>
      <c r="I498">
        <v>0</v>
      </c>
      <c r="J498">
        <v>0</v>
      </c>
      <c r="K498">
        <v>13</v>
      </c>
      <c r="L498">
        <v>13</v>
      </c>
      <c r="M498">
        <v>0</v>
      </c>
    </row>
    <row r="499" spans="1:13" x14ac:dyDescent="0.35">
      <c r="A499" t="s">
        <v>197</v>
      </c>
      <c r="B499" t="s">
        <v>36</v>
      </c>
      <c r="C499" t="s">
        <v>152</v>
      </c>
      <c r="D499" t="s">
        <v>146</v>
      </c>
      <c r="E499" t="s">
        <v>206</v>
      </c>
      <c r="F499" t="s">
        <v>199</v>
      </c>
      <c r="G499" t="s">
        <v>18</v>
      </c>
      <c r="H499">
        <v>10</v>
      </c>
      <c r="I499">
        <v>10</v>
      </c>
      <c r="J499">
        <v>0</v>
      </c>
      <c r="K499">
        <v>107</v>
      </c>
      <c r="L499">
        <v>92</v>
      </c>
      <c r="M499">
        <v>0.10869565217391304</v>
      </c>
    </row>
    <row r="500" spans="1:13" x14ac:dyDescent="0.35">
      <c r="A500" t="s">
        <v>197</v>
      </c>
      <c r="B500" t="s">
        <v>36</v>
      </c>
      <c r="C500" t="s">
        <v>153</v>
      </c>
      <c r="D500" t="s">
        <v>146</v>
      </c>
      <c r="E500" t="s">
        <v>206</v>
      </c>
      <c r="F500" t="s">
        <v>199</v>
      </c>
      <c r="G500" t="s">
        <v>18</v>
      </c>
      <c r="H500">
        <v>0</v>
      </c>
      <c r="I500">
        <v>0</v>
      </c>
      <c r="J500">
        <v>0</v>
      </c>
      <c r="K500">
        <v>5</v>
      </c>
      <c r="L500">
        <v>4</v>
      </c>
      <c r="M500">
        <v>0</v>
      </c>
    </row>
    <row r="501" spans="1:13" x14ac:dyDescent="0.35">
      <c r="A501" t="s">
        <v>197</v>
      </c>
      <c r="B501" t="s">
        <v>36</v>
      </c>
      <c r="C501" t="s">
        <v>154</v>
      </c>
      <c r="D501" t="s">
        <v>146</v>
      </c>
      <c r="E501" t="s">
        <v>206</v>
      </c>
      <c r="F501" t="s">
        <v>199</v>
      </c>
      <c r="G501" t="s">
        <v>18</v>
      </c>
      <c r="H501">
        <v>0</v>
      </c>
      <c r="I501">
        <v>0</v>
      </c>
      <c r="J501">
        <v>0</v>
      </c>
      <c r="K501">
        <v>17</v>
      </c>
      <c r="L501">
        <v>17</v>
      </c>
      <c r="M501">
        <v>0</v>
      </c>
    </row>
    <row r="502" spans="1:13" x14ac:dyDescent="0.35">
      <c r="A502" t="s">
        <v>197</v>
      </c>
      <c r="B502" t="s">
        <v>36</v>
      </c>
      <c r="C502" t="s">
        <v>148</v>
      </c>
      <c r="D502" t="s">
        <v>146</v>
      </c>
      <c r="E502" t="s">
        <v>206</v>
      </c>
      <c r="F502" t="s">
        <v>199</v>
      </c>
      <c r="G502" t="s">
        <v>18</v>
      </c>
      <c r="H502">
        <v>11</v>
      </c>
      <c r="I502">
        <v>9</v>
      </c>
      <c r="J502">
        <v>1</v>
      </c>
      <c r="K502">
        <v>159</v>
      </c>
      <c r="L502">
        <v>149</v>
      </c>
      <c r="M502">
        <v>7.3825503355704702E-2</v>
      </c>
    </row>
    <row r="503" spans="1:13" x14ac:dyDescent="0.35">
      <c r="A503" t="s">
        <v>197</v>
      </c>
      <c r="B503" t="s">
        <v>36</v>
      </c>
      <c r="C503" t="s">
        <v>155</v>
      </c>
      <c r="D503" t="s">
        <v>146</v>
      </c>
      <c r="E503" t="s">
        <v>206</v>
      </c>
      <c r="F503" t="s">
        <v>199</v>
      </c>
      <c r="G503" t="s">
        <v>18</v>
      </c>
      <c r="H503">
        <v>1</v>
      </c>
      <c r="I503">
        <v>1</v>
      </c>
      <c r="J503">
        <v>0</v>
      </c>
      <c r="K503">
        <v>9</v>
      </c>
      <c r="L503">
        <v>8</v>
      </c>
      <c r="M503">
        <v>0.125</v>
      </c>
    </row>
    <row r="504" spans="1:13" x14ac:dyDescent="0.35">
      <c r="A504" t="s">
        <v>197</v>
      </c>
      <c r="B504" t="s">
        <v>36</v>
      </c>
      <c r="C504" t="s">
        <v>156</v>
      </c>
      <c r="D504" t="s">
        <v>146</v>
      </c>
      <c r="E504" t="s">
        <v>206</v>
      </c>
      <c r="F504" t="s">
        <v>199</v>
      </c>
      <c r="G504" t="s">
        <v>18</v>
      </c>
      <c r="H504">
        <v>1</v>
      </c>
      <c r="I504">
        <v>1</v>
      </c>
      <c r="J504">
        <v>0</v>
      </c>
      <c r="K504">
        <v>6</v>
      </c>
      <c r="L504">
        <v>6</v>
      </c>
      <c r="M504">
        <v>0.16666666666666666</v>
      </c>
    </row>
    <row r="505" spans="1:13" x14ac:dyDescent="0.35">
      <c r="A505" t="s">
        <v>197</v>
      </c>
      <c r="B505" t="s">
        <v>36</v>
      </c>
      <c r="C505" t="s">
        <v>157</v>
      </c>
      <c r="D505" t="s">
        <v>146</v>
      </c>
      <c r="E505" t="s">
        <v>206</v>
      </c>
      <c r="F505" t="s">
        <v>199</v>
      </c>
      <c r="G505" t="s">
        <v>18</v>
      </c>
      <c r="H505">
        <v>0</v>
      </c>
      <c r="I505">
        <v>0</v>
      </c>
      <c r="J505">
        <v>0</v>
      </c>
      <c r="K505">
        <v>8</v>
      </c>
      <c r="L505">
        <v>7</v>
      </c>
      <c r="M505">
        <v>0</v>
      </c>
    </row>
    <row r="506" spans="1:13" x14ac:dyDescent="0.35">
      <c r="A506" t="s">
        <v>197</v>
      </c>
      <c r="B506" t="s">
        <v>36</v>
      </c>
      <c r="C506" t="s">
        <v>158</v>
      </c>
      <c r="D506" t="s">
        <v>146</v>
      </c>
      <c r="E506" t="s">
        <v>206</v>
      </c>
      <c r="F506" t="s">
        <v>199</v>
      </c>
      <c r="G506" t="s">
        <v>18</v>
      </c>
      <c r="H506">
        <v>3</v>
      </c>
      <c r="I506">
        <v>3</v>
      </c>
      <c r="J506">
        <v>0</v>
      </c>
      <c r="K506">
        <v>52</v>
      </c>
      <c r="L506">
        <v>47</v>
      </c>
      <c r="M506">
        <v>6.3829787234042548E-2</v>
      </c>
    </row>
    <row r="507" spans="1:13" x14ac:dyDescent="0.35">
      <c r="A507" t="s">
        <v>197</v>
      </c>
      <c r="B507" t="s">
        <v>36</v>
      </c>
      <c r="C507" t="s">
        <v>145</v>
      </c>
      <c r="D507" t="s">
        <v>146</v>
      </c>
      <c r="E507" t="s">
        <v>207</v>
      </c>
      <c r="F507" t="s">
        <v>199</v>
      </c>
      <c r="G507" t="s">
        <v>199</v>
      </c>
      <c r="H507">
        <v>2</v>
      </c>
      <c r="I507">
        <v>2</v>
      </c>
      <c r="J507">
        <v>0</v>
      </c>
      <c r="K507">
        <v>29</v>
      </c>
      <c r="L507">
        <v>27</v>
      </c>
      <c r="M507">
        <v>7.407407407407407E-2</v>
      </c>
    </row>
    <row r="508" spans="1:13" x14ac:dyDescent="0.35">
      <c r="A508" t="s">
        <v>197</v>
      </c>
      <c r="B508" t="s">
        <v>36</v>
      </c>
      <c r="C508" t="s">
        <v>148</v>
      </c>
      <c r="D508" t="s">
        <v>146</v>
      </c>
      <c r="E508" t="s">
        <v>208</v>
      </c>
      <c r="F508" t="s">
        <v>199</v>
      </c>
      <c r="G508" t="s">
        <v>18</v>
      </c>
      <c r="H508">
        <v>13</v>
      </c>
      <c r="I508">
        <v>13</v>
      </c>
      <c r="J508">
        <v>0</v>
      </c>
      <c r="K508">
        <v>182</v>
      </c>
      <c r="L508">
        <v>173</v>
      </c>
      <c r="M508">
        <v>7.5144508670520235E-2</v>
      </c>
    </row>
    <row r="509" spans="1:13" x14ac:dyDescent="0.35">
      <c r="A509" t="s">
        <v>197</v>
      </c>
      <c r="B509" t="s">
        <v>36</v>
      </c>
      <c r="C509" t="s">
        <v>151</v>
      </c>
      <c r="D509" t="s">
        <v>146</v>
      </c>
      <c r="E509" t="s">
        <v>208</v>
      </c>
      <c r="F509" t="s">
        <v>199</v>
      </c>
      <c r="G509" t="s">
        <v>18</v>
      </c>
      <c r="H509">
        <v>1</v>
      </c>
      <c r="I509">
        <v>1</v>
      </c>
      <c r="J509">
        <v>0</v>
      </c>
      <c r="K509">
        <v>18</v>
      </c>
      <c r="L509">
        <v>17</v>
      </c>
      <c r="M509">
        <v>5.8823529411764705E-2</v>
      </c>
    </row>
    <row r="510" spans="1:13" x14ac:dyDescent="0.35">
      <c r="A510" t="s">
        <v>197</v>
      </c>
      <c r="B510" t="s">
        <v>36</v>
      </c>
      <c r="C510" t="s">
        <v>154</v>
      </c>
      <c r="D510" t="s">
        <v>146</v>
      </c>
      <c r="E510" t="s">
        <v>208</v>
      </c>
      <c r="F510" t="s">
        <v>199</v>
      </c>
      <c r="G510" t="s">
        <v>18</v>
      </c>
      <c r="H510">
        <v>2</v>
      </c>
      <c r="I510">
        <v>2</v>
      </c>
      <c r="J510">
        <v>0</v>
      </c>
      <c r="K510">
        <v>22</v>
      </c>
      <c r="L510">
        <v>22</v>
      </c>
      <c r="M510">
        <v>9.0909090909090912E-2</v>
      </c>
    </row>
    <row r="511" spans="1:13" x14ac:dyDescent="0.35">
      <c r="A511" t="s">
        <v>197</v>
      </c>
      <c r="B511" t="s">
        <v>36</v>
      </c>
      <c r="C511" t="s">
        <v>152</v>
      </c>
      <c r="D511" t="s">
        <v>146</v>
      </c>
      <c r="E511" t="s">
        <v>208</v>
      </c>
      <c r="F511" t="s">
        <v>199</v>
      </c>
      <c r="G511" t="s">
        <v>18</v>
      </c>
      <c r="H511">
        <v>11</v>
      </c>
      <c r="I511">
        <v>11</v>
      </c>
      <c r="J511">
        <v>0</v>
      </c>
      <c r="K511">
        <v>103</v>
      </c>
      <c r="L511">
        <v>92</v>
      </c>
      <c r="M511">
        <v>0.11956521739130435</v>
      </c>
    </row>
    <row r="512" spans="1:13" x14ac:dyDescent="0.35">
      <c r="A512" t="s">
        <v>197</v>
      </c>
      <c r="B512" t="s">
        <v>36</v>
      </c>
      <c r="C512" t="s">
        <v>153</v>
      </c>
      <c r="D512" t="s">
        <v>146</v>
      </c>
      <c r="E512" t="s">
        <v>208</v>
      </c>
      <c r="F512" t="s">
        <v>199</v>
      </c>
      <c r="G512" t="s">
        <v>18</v>
      </c>
      <c r="H512">
        <v>0</v>
      </c>
      <c r="I512">
        <v>0</v>
      </c>
      <c r="J512">
        <v>0</v>
      </c>
      <c r="K512">
        <v>9</v>
      </c>
      <c r="L512">
        <v>9</v>
      </c>
      <c r="M512">
        <v>0</v>
      </c>
    </row>
    <row r="513" spans="1:13" x14ac:dyDescent="0.35">
      <c r="A513" t="s">
        <v>197</v>
      </c>
      <c r="B513" t="s">
        <v>36</v>
      </c>
      <c r="C513" t="s">
        <v>155</v>
      </c>
      <c r="D513" t="s">
        <v>146</v>
      </c>
      <c r="E513" t="s">
        <v>208</v>
      </c>
      <c r="F513" t="s">
        <v>199</v>
      </c>
      <c r="G513" t="s">
        <v>18</v>
      </c>
      <c r="H513">
        <v>2</v>
      </c>
      <c r="I513">
        <v>2</v>
      </c>
      <c r="J513">
        <v>0</v>
      </c>
      <c r="K513">
        <v>9</v>
      </c>
      <c r="L513">
        <v>9</v>
      </c>
      <c r="M513">
        <v>0.22222222222222221</v>
      </c>
    </row>
    <row r="514" spans="1:13" x14ac:dyDescent="0.35">
      <c r="A514" t="s">
        <v>197</v>
      </c>
      <c r="B514" t="s">
        <v>36</v>
      </c>
      <c r="C514" t="s">
        <v>156</v>
      </c>
      <c r="D514" t="s">
        <v>146</v>
      </c>
      <c r="E514" t="s">
        <v>208</v>
      </c>
      <c r="F514" t="s">
        <v>199</v>
      </c>
      <c r="G514" t="s">
        <v>18</v>
      </c>
      <c r="H514">
        <v>2</v>
      </c>
      <c r="I514">
        <v>2</v>
      </c>
      <c r="J514">
        <v>0</v>
      </c>
      <c r="K514">
        <v>16</v>
      </c>
      <c r="L514">
        <v>16</v>
      </c>
      <c r="M514">
        <v>0.125</v>
      </c>
    </row>
    <row r="515" spans="1:13" x14ac:dyDescent="0.35">
      <c r="A515" t="s">
        <v>197</v>
      </c>
      <c r="B515" t="s">
        <v>36</v>
      </c>
      <c r="C515" t="s">
        <v>157</v>
      </c>
      <c r="D515" t="s">
        <v>146</v>
      </c>
      <c r="E515" t="s">
        <v>208</v>
      </c>
      <c r="F515" t="s">
        <v>199</v>
      </c>
      <c r="G515" t="s">
        <v>18</v>
      </c>
      <c r="H515">
        <v>1</v>
      </c>
      <c r="I515">
        <v>1</v>
      </c>
      <c r="J515">
        <v>0</v>
      </c>
      <c r="K515">
        <v>12</v>
      </c>
      <c r="L515">
        <v>12</v>
      </c>
      <c r="M515">
        <v>8.3333333333333329E-2</v>
      </c>
    </row>
    <row r="516" spans="1:13" x14ac:dyDescent="0.35">
      <c r="A516" t="s">
        <v>197</v>
      </c>
      <c r="B516" t="s">
        <v>36</v>
      </c>
      <c r="C516" t="s">
        <v>158</v>
      </c>
      <c r="D516" t="s">
        <v>146</v>
      </c>
      <c r="E516" t="s">
        <v>208</v>
      </c>
      <c r="F516" t="s">
        <v>199</v>
      </c>
      <c r="G516" t="s">
        <v>18</v>
      </c>
      <c r="H516">
        <v>4</v>
      </c>
      <c r="I516">
        <v>4</v>
      </c>
      <c r="J516">
        <v>0</v>
      </c>
      <c r="K516">
        <v>62</v>
      </c>
      <c r="L516">
        <v>57</v>
      </c>
      <c r="M516">
        <v>7.0175438596491224E-2</v>
      </c>
    </row>
    <row r="517" spans="1:13" x14ac:dyDescent="0.35">
      <c r="A517" t="s">
        <v>197</v>
      </c>
      <c r="B517" t="s">
        <v>36</v>
      </c>
      <c r="C517" t="s">
        <v>150</v>
      </c>
      <c r="D517" t="s">
        <v>146</v>
      </c>
      <c r="E517" t="s">
        <v>208</v>
      </c>
      <c r="F517" t="s">
        <v>199</v>
      </c>
      <c r="G517" t="s">
        <v>18</v>
      </c>
      <c r="H517">
        <v>2</v>
      </c>
      <c r="I517">
        <v>2</v>
      </c>
      <c r="J517">
        <v>0</v>
      </c>
      <c r="K517">
        <v>12</v>
      </c>
      <c r="L517">
        <v>11</v>
      </c>
      <c r="M517">
        <v>0.18181818181818182</v>
      </c>
    </row>
    <row r="518" spans="1:13" x14ac:dyDescent="0.35">
      <c r="A518" t="s">
        <v>209</v>
      </c>
      <c r="B518" t="s">
        <v>13</v>
      </c>
      <c r="C518" t="s">
        <v>149</v>
      </c>
      <c r="D518" t="s">
        <v>146</v>
      </c>
      <c r="E518" t="s">
        <v>210</v>
      </c>
      <c r="F518" t="s">
        <v>16</v>
      </c>
      <c r="G518" t="s">
        <v>211</v>
      </c>
      <c r="H518">
        <v>3</v>
      </c>
      <c r="I518">
        <v>0</v>
      </c>
      <c r="J518">
        <v>0</v>
      </c>
      <c r="K518">
        <v>126</v>
      </c>
      <c r="L518">
        <v>125</v>
      </c>
      <c r="M518">
        <v>2.4E-2</v>
      </c>
    </row>
    <row r="519" spans="1:13" x14ac:dyDescent="0.35">
      <c r="A519" t="s">
        <v>209</v>
      </c>
      <c r="B519" t="s">
        <v>13</v>
      </c>
      <c r="C519" t="s">
        <v>212</v>
      </c>
      <c r="D519" t="s">
        <v>146</v>
      </c>
      <c r="E519" t="s">
        <v>210</v>
      </c>
      <c r="F519" t="s">
        <v>16</v>
      </c>
      <c r="G519" t="s">
        <v>211</v>
      </c>
      <c r="H519">
        <v>7</v>
      </c>
      <c r="I519">
        <v>0</v>
      </c>
      <c r="J519">
        <v>1</v>
      </c>
      <c r="K519">
        <v>46</v>
      </c>
      <c r="L519">
        <v>43</v>
      </c>
      <c r="M519">
        <v>0.16279069767441862</v>
      </c>
    </row>
    <row r="520" spans="1:13" x14ac:dyDescent="0.35">
      <c r="A520" t="s">
        <v>209</v>
      </c>
      <c r="B520" t="s">
        <v>13</v>
      </c>
      <c r="C520" t="s">
        <v>145</v>
      </c>
      <c r="D520" t="s">
        <v>146</v>
      </c>
      <c r="E520" t="s">
        <v>210</v>
      </c>
      <c r="F520" t="s">
        <v>44</v>
      </c>
      <c r="G520" t="s">
        <v>44</v>
      </c>
      <c r="H520">
        <v>0</v>
      </c>
      <c r="I520">
        <v>0</v>
      </c>
      <c r="J520">
        <v>0</v>
      </c>
      <c r="K520">
        <v>7</v>
      </c>
      <c r="L520">
        <v>7</v>
      </c>
      <c r="M520">
        <v>0</v>
      </c>
    </row>
    <row r="521" spans="1:13" x14ac:dyDescent="0.35">
      <c r="A521" t="s">
        <v>209</v>
      </c>
      <c r="B521" t="s">
        <v>13</v>
      </c>
      <c r="C521" t="s">
        <v>156</v>
      </c>
      <c r="D521" t="s">
        <v>146</v>
      </c>
      <c r="E521" t="s">
        <v>213</v>
      </c>
      <c r="F521" t="s">
        <v>21</v>
      </c>
      <c r="G521" t="s">
        <v>21</v>
      </c>
      <c r="H521">
        <v>23550</v>
      </c>
      <c r="I521">
        <v>0</v>
      </c>
      <c r="J521">
        <v>7</v>
      </c>
      <c r="K521">
        <v>87377</v>
      </c>
      <c r="L521">
        <v>62705</v>
      </c>
      <c r="M521">
        <v>0.37556813651223986</v>
      </c>
    </row>
    <row r="522" spans="1:13" x14ac:dyDescent="0.35">
      <c r="A522" t="s">
        <v>209</v>
      </c>
      <c r="B522" t="s">
        <v>13</v>
      </c>
      <c r="C522" t="s">
        <v>149</v>
      </c>
      <c r="D522" t="s">
        <v>146</v>
      </c>
      <c r="E522" t="s">
        <v>214</v>
      </c>
      <c r="F522" t="s">
        <v>16</v>
      </c>
      <c r="G522" t="s">
        <v>215</v>
      </c>
      <c r="H522">
        <v>2</v>
      </c>
      <c r="I522">
        <v>0</v>
      </c>
      <c r="J522">
        <v>1</v>
      </c>
      <c r="K522">
        <v>148</v>
      </c>
      <c r="L522">
        <v>144</v>
      </c>
      <c r="M522">
        <v>1.3888888888888888E-2</v>
      </c>
    </row>
    <row r="523" spans="1:13" x14ac:dyDescent="0.35">
      <c r="A523" t="s">
        <v>209</v>
      </c>
      <c r="B523" t="s">
        <v>13</v>
      </c>
      <c r="C523" t="s">
        <v>212</v>
      </c>
      <c r="D523" t="s">
        <v>146</v>
      </c>
      <c r="E523" t="s">
        <v>214</v>
      </c>
      <c r="F523" t="s">
        <v>16</v>
      </c>
      <c r="G523" t="s">
        <v>215</v>
      </c>
      <c r="H523">
        <v>9</v>
      </c>
      <c r="I523">
        <v>0</v>
      </c>
      <c r="J523">
        <v>1</v>
      </c>
      <c r="K523">
        <v>116</v>
      </c>
      <c r="L523">
        <v>109</v>
      </c>
      <c r="M523">
        <v>8.2568807339449546E-2</v>
      </c>
    </row>
    <row r="524" spans="1:13" x14ac:dyDescent="0.35">
      <c r="A524" t="s">
        <v>209</v>
      </c>
      <c r="B524" t="s">
        <v>13</v>
      </c>
      <c r="C524" t="s">
        <v>156</v>
      </c>
      <c r="D524" t="s">
        <v>146</v>
      </c>
      <c r="E524" t="s">
        <v>216</v>
      </c>
      <c r="F524" t="s">
        <v>16</v>
      </c>
      <c r="G524" t="s">
        <v>215</v>
      </c>
      <c r="H524">
        <v>3</v>
      </c>
      <c r="I524">
        <v>0</v>
      </c>
      <c r="J524">
        <v>1</v>
      </c>
      <c r="K524">
        <v>33</v>
      </c>
      <c r="L524">
        <v>30</v>
      </c>
      <c r="M524">
        <v>0.1</v>
      </c>
    </row>
    <row r="525" spans="1:13" x14ac:dyDescent="0.35">
      <c r="A525" t="s">
        <v>209</v>
      </c>
      <c r="B525" t="s">
        <v>13</v>
      </c>
      <c r="C525" t="s">
        <v>149</v>
      </c>
      <c r="D525" t="s">
        <v>146</v>
      </c>
      <c r="E525" t="s">
        <v>217</v>
      </c>
      <c r="F525" t="s">
        <v>16</v>
      </c>
      <c r="G525" t="s">
        <v>215</v>
      </c>
      <c r="H525">
        <v>1</v>
      </c>
      <c r="I525">
        <v>0</v>
      </c>
      <c r="J525">
        <v>0</v>
      </c>
      <c r="K525">
        <v>134</v>
      </c>
      <c r="L525">
        <v>131</v>
      </c>
      <c r="M525">
        <v>7.6335877862595417E-3</v>
      </c>
    </row>
    <row r="526" spans="1:13" x14ac:dyDescent="0.35">
      <c r="A526" t="s">
        <v>209</v>
      </c>
      <c r="B526" t="s">
        <v>13</v>
      </c>
      <c r="C526" t="s">
        <v>212</v>
      </c>
      <c r="D526" t="s">
        <v>146</v>
      </c>
      <c r="E526" t="s">
        <v>217</v>
      </c>
      <c r="F526" t="s">
        <v>16</v>
      </c>
      <c r="G526" t="s">
        <v>215</v>
      </c>
      <c r="H526">
        <v>9</v>
      </c>
      <c r="I526">
        <v>0</v>
      </c>
      <c r="J526">
        <v>1</v>
      </c>
      <c r="K526">
        <v>87</v>
      </c>
      <c r="L526">
        <v>78</v>
      </c>
      <c r="M526">
        <v>0.11538461538461539</v>
      </c>
    </row>
    <row r="527" spans="1:13" x14ac:dyDescent="0.35">
      <c r="A527" t="s">
        <v>209</v>
      </c>
      <c r="B527" t="s">
        <v>13</v>
      </c>
      <c r="C527" t="s">
        <v>150</v>
      </c>
      <c r="D527" t="s">
        <v>146</v>
      </c>
      <c r="E527" t="s">
        <v>217</v>
      </c>
      <c r="F527" t="s">
        <v>16</v>
      </c>
      <c r="G527" t="s">
        <v>215</v>
      </c>
      <c r="H527">
        <v>1</v>
      </c>
      <c r="I527">
        <v>0</v>
      </c>
      <c r="J527">
        <v>0</v>
      </c>
      <c r="K527">
        <v>65</v>
      </c>
      <c r="L527">
        <v>64</v>
      </c>
      <c r="M527">
        <v>1.5625E-2</v>
      </c>
    </row>
    <row r="528" spans="1:13" x14ac:dyDescent="0.35">
      <c r="A528" t="s">
        <v>209</v>
      </c>
      <c r="B528" t="s">
        <v>13</v>
      </c>
      <c r="C528" t="s">
        <v>151</v>
      </c>
      <c r="D528" t="s">
        <v>146</v>
      </c>
      <c r="E528" t="s">
        <v>217</v>
      </c>
      <c r="F528" t="s">
        <v>16</v>
      </c>
      <c r="G528" t="s">
        <v>215</v>
      </c>
      <c r="H528">
        <v>1</v>
      </c>
      <c r="I528">
        <v>0</v>
      </c>
      <c r="J528">
        <v>0</v>
      </c>
      <c r="K528">
        <v>39</v>
      </c>
      <c r="L528">
        <v>38</v>
      </c>
      <c r="M528">
        <v>2.6315789473684209E-2</v>
      </c>
    </row>
    <row r="529" spans="1:13" x14ac:dyDescent="0.35">
      <c r="A529" t="s">
        <v>209</v>
      </c>
      <c r="B529" t="s">
        <v>13</v>
      </c>
      <c r="C529" t="s">
        <v>152</v>
      </c>
      <c r="D529" t="s">
        <v>146</v>
      </c>
      <c r="E529" t="s">
        <v>217</v>
      </c>
      <c r="F529" t="s">
        <v>16</v>
      </c>
      <c r="G529" t="s">
        <v>215</v>
      </c>
      <c r="H529">
        <v>4</v>
      </c>
      <c r="I529">
        <v>0</v>
      </c>
      <c r="J529">
        <v>3</v>
      </c>
      <c r="K529">
        <v>20</v>
      </c>
      <c r="L529">
        <v>20</v>
      </c>
      <c r="M529">
        <v>0.2</v>
      </c>
    </row>
    <row r="530" spans="1:13" x14ac:dyDescent="0.35">
      <c r="A530" t="s">
        <v>209</v>
      </c>
      <c r="B530" t="s">
        <v>13</v>
      </c>
      <c r="C530" t="s">
        <v>153</v>
      </c>
      <c r="D530" t="s">
        <v>146</v>
      </c>
      <c r="E530" t="s">
        <v>217</v>
      </c>
      <c r="F530" t="s">
        <v>16</v>
      </c>
      <c r="G530" t="s">
        <v>215</v>
      </c>
      <c r="H530">
        <v>0</v>
      </c>
      <c r="I530">
        <v>0</v>
      </c>
      <c r="J530">
        <v>0</v>
      </c>
      <c r="K530">
        <v>29</v>
      </c>
      <c r="L530">
        <v>27</v>
      </c>
      <c r="M530">
        <v>0</v>
      </c>
    </row>
    <row r="531" spans="1:13" x14ac:dyDescent="0.35">
      <c r="A531" t="s">
        <v>209</v>
      </c>
      <c r="B531" t="s">
        <v>13</v>
      </c>
      <c r="C531" t="s">
        <v>154</v>
      </c>
      <c r="D531" t="s">
        <v>146</v>
      </c>
      <c r="E531" t="s">
        <v>217</v>
      </c>
      <c r="F531" t="s">
        <v>16</v>
      </c>
      <c r="G531" t="s">
        <v>215</v>
      </c>
      <c r="H531">
        <v>3</v>
      </c>
      <c r="I531">
        <v>0</v>
      </c>
      <c r="J531">
        <v>2</v>
      </c>
      <c r="K531">
        <v>26</v>
      </c>
      <c r="L531">
        <v>24</v>
      </c>
      <c r="M531">
        <v>0.125</v>
      </c>
    </row>
    <row r="532" spans="1:13" x14ac:dyDescent="0.35">
      <c r="A532" t="s">
        <v>209</v>
      </c>
      <c r="B532" t="s">
        <v>13</v>
      </c>
      <c r="C532" t="s">
        <v>148</v>
      </c>
      <c r="D532" t="s">
        <v>146</v>
      </c>
      <c r="E532" t="s">
        <v>217</v>
      </c>
      <c r="F532" t="s">
        <v>16</v>
      </c>
      <c r="G532" t="s">
        <v>215</v>
      </c>
      <c r="H532">
        <v>4</v>
      </c>
      <c r="I532">
        <v>0</v>
      </c>
      <c r="J532">
        <v>3</v>
      </c>
      <c r="K532">
        <v>214</v>
      </c>
      <c r="L532">
        <v>209</v>
      </c>
      <c r="M532">
        <v>1.9138755980861243E-2</v>
      </c>
    </row>
    <row r="533" spans="1:13" x14ac:dyDescent="0.35">
      <c r="A533" t="s">
        <v>209</v>
      </c>
      <c r="B533" t="s">
        <v>13</v>
      </c>
      <c r="C533" t="s">
        <v>155</v>
      </c>
      <c r="D533" t="s">
        <v>146</v>
      </c>
      <c r="E533" t="s">
        <v>217</v>
      </c>
      <c r="F533" t="s">
        <v>16</v>
      </c>
      <c r="G533" t="s">
        <v>215</v>
      </c>
      <c r="H533">
        <v>10</v>
      </c>
      <c r="I533">
        <v>0</v>
      </c>
      <c r="J533">
        <v>1</v>
      </c>
      <c r="K533">
        <v>61</v>
      </c>
      <c r="L533">
        <v>55</v>
      </c>
      <c r="M533">
        <v>0.18181818181818182</v>
      </c>
    </row>
    <row r="534" spans="1:13" x14ac:dyDescent="0.35">
      <c r="A534" t="s">
        <v>209</v>
      </c>
      <c r="B534" t="s">
        <v>13</v>
      </c>
      <c r="C534" t="s">
        <v>157</v>
      </c>
      <c r="D534" t="s">
        <v>146</v>
      </c>
      <c r="E534" t="s">
        <v>217</v>
      </c>
      <c r="F534" t="s">
        <v>16</v>
      </c>
      <c r="G534" t="s">
        <v>215</v>
      </c>
      <c r="H534">
        <v>1</v>
      </c>
      <c r="I534">
        <v>0</v>
      </c>
      <c r="J534">
        <v>0</v>
      </c>
      <c r="K534">
        <v>506</v>
      </c>
      <c r="L534">
        <v>489</v>
      </c>
      <c r="M534">
        <v>2.0449897750511249E-3</v>
      </c>
    </row>
    <row r="535" spans="1:13" x14ac:dyDescent="0.35">
      <c r="A535" t="s">
        <v>209</v>
      </c>
      <c r="B535" t="s">
        <v>13</v>
      </c>
      <c r="C535" t="s">
        <v>158</v>
      </c>
      <c r="D535" t="s">
        <v>146</v>
      </c>
      <c r="E535" t="s">
        <v>217</v>
      </c>
      <c r="F535" t="s">
        <v>215</v>
      </c>
      <c r="G535" t="s">
        <v>215</v>
      </c>
      <c r="H535">
        <v>6</v>
      </c>
      <c r="I535">
        <v>0</v>
      </c>
      <c r="J535">
        <v>2</v>
      </c>
      <c r="K535">
        <v>617</v>
      </c>
      <c r="L535">
        <v>617</v>
      </c>
      <c r="M535">
        <v>9.7244732576985422E-3</v>
      </c>
    </row>
    <row r="536" spans="1:13" x14ac:dyDescent="0.35">
      <c r="A536" t="s">
        <v>209</v>
      </c>
      <c r="B536" t="s">
        <v>13</v>
      </c>
      <c r="C536" t="s">
        <v>156</v>
      </c>
      <c r="D536" t="s">
        <v>146</v>
      </c>
      <c r="E536" t="s">
        <v>217</v>
      </c>
      <c r="F536" t="s">
        <v>18</v>
      </c>
      <c r="G536" t="s">
        <v>18</v>
      </c>
      <c r="H536">
        <v>2</v>
      </c>
      <c r="I536">
        <v>0</v>
      </c>
      <c r="J536">
        <v>0</v>
      </c>
      <c r="K536">
        <v>27</v>
      </c>
      <c r="L536">
        <v>24</v>
      </c>
      <c r="M536">
        <v>8.3333333333333329E-2</v>
      </c>
    </row>
    <row r="537" spans="1:13" x14ac:dyDescent="0.35">
      <c r="A537" t="s">
        <v>209</v>
      </c>
      <c r="B537" t="s">
        <v>13</v>
      </c>
      <c r="C537" t="s">
        <v>145</v>
      </c>
      <c r="D537" t="s">
        <v>162</v>
      </c>
      <c r="E537" t="s">
        <v>218</v>
      </c>
      <c r="F537" t="s">
        <v>16</v>
      </c>
      <c r="G537" t="s">
        <v>16</v>
      </c>
      <c r="H537">
        <v>5</v>
      </c>
      <c r="I537">
        <v>0</v>
      </c>
      <c r="J537">
        <v>0</v>
      </c>
      <c r="K537">
        <v>26</v>
      </c>
      <c r="L537">
        <v>24</v>
      </c>
      <c r="M537">
        <v>0.20833333333333334</v>
      </c>
    </row>
    <row r="538" spans="1:13" x14ac:dyDescent="0.35">
      <c r="A538" t="s">
        <v>209</v>
      </c>
      <c r="B538" t="s">
        <v>13</v>
      </c>
      <c r="C538" t="s">
        <v>212</v>
      </c>
      <c r="D538" t="s">
        <v>146</v>
      </c>
      <c r="E538" t="s">
        <v>219</v>
      </c>
      <c r="F538" t="s">
        <v>18</v>
      </c>
      <c r="G538" t="s">
        <v>18</v>
      </c>
      <c r="H538">
        <v>3</v>
      </c>
      <c r="I538">
        <v>0</v>
      </c>
      <c r="J538">
        <v>1</v>
      </c>
      <c r="K538">
        <v>62</v>
      </c>
      <c r="L538">
        <v>57</v>
      </c>
      <c r="M538">
        <v>5.2631578947368418E-2</v>
      </c>
    </row>
    <row r="539" spans="1:13" x14ac:dyDescent="0.35">
      <c r="A539" t="s">
        <v>209</v>
      </c>
      <c r="B539" t="s">
        <v>13</v>
      </c>
      <c r="C539" t="s">
        <v>149</v>
      </c>
      <c r="D539" t="s">
        <v>146</v>
      </c>
      <c r="E539" t="s">
        <v>219</v>
      </c>
      <c r="F539" t="s">
        <v>18</v>
      </c>
      <c r="G539" t="s">
        <v>18</v>
      </c>
      <c r="H539">
        <v>0</v>
      </c>
      <c r="I539">
        <v>0</v>
      </c>
      <c r="J539">
        <v>0</v>
      </c>
      <c r="K539">
        <v>142</v>
      </c>
      <c r="L539">
        <v>137</v>
      </c>
      <c r="M539">
        <v>0</v>
      </c>
    </row>
    <row r="540" spans="1:13" x14ac:dyDescent="0.35">
      <c r="A540" t="s">
        <v>209</v>
      </c>
      <c r="B540" t="s">
        <v>13</v>
      </c>
      <c r="C540" t="s">
        <v>150</v>
      </c>
      <c r="D540" t="s">
        <v>146</v>
      </c>
      <c r="E540" t="s">
        <v>219</v>
      </c>
      <c r="F540" t="s">
        <v>18</v>
      </c>
      <c r="G540" t="s">
        <v>18</v>
      </c>
      <c r="H540">
        <v>1</v>
      </c>
      <c r="I540">
        <v>0</v>
      </c>
      <c r="J540">
        <v>0</v>
      </c>
      <c r="K540">
        <v>71</v>
      </c>
      <c r="L540">
        <v>71</v>
      </c>
      <c r="M540">
        <v>1.4084507042253521E-2</v>
      </c>
    </row>
    <row r="541" spans="1:13" x14ac:dyDescent="0.35">
      <c r="A541" t="s">
        <v>209</v>
      </c>
      <c r="B541" t="s">
        <v>13</v>
      </c>
      <c r="C541" t="s">
        <v>151</v>
      </c>
      <c r="D541" t="s">
        <v>146</v>
      </c>
      <c r="E541" t="s">
        <v>219</v>
      </c>
      <c r="F541" t="s">
        <v>18</v>
      </c>
      <c r="G541" t="s">
        <v>18</v>
      </c>
      <c r="H541">
        <v>1</v>
      </c>
      <c r="I541">
        <v>0</v>
      </c>
      <c r="J541">
        <v>0</v>
      </c>
      <c r="K541">
        <v>36</v>
      </c>
      <c r="L541">
        <v>33</v>
      </c>
      <c r="M541">
        <v>3.0303030303030304E-2</v>
      </c>
    </row>
    <row r="542" spans="1:13" x14ac:dyDescent="0.35">
      <c r="A542" t="s">
        <v>209</v>
      </c>
      <c r="B542" t="s">
        <v>13</v>
      </c>
      <c r="C542" t="s">
        <v>152</v>
      </c>
      <c r="D542" t="s">
        <v>146</v>
      </c>
      <c r="E542" t="s">
        <v>219</v>
      </c>
      <c r="F542" t="s">
        <v>18</v>
      </c>
      <c r="G542" t="s">
        <v>18</v>
      </c>
      <c r="H542">
        <v>1</v>
      </c>
      <c r="I542">
        <v>0</v>
      </c>
      <c r="J542">
        <v>1</v>
      </c>
      <c r="K542">
        <v>18</v>
      </c>
      <c r="L542">
        <v>18</v>
      </c>
      <c r="M542">
        <v>5.5555555555555552E-2</v>
      </c>
    </row>
    <row r="543" spans="1:13" x14ac:dyDescent="0.35">
      <c r="A543" t="s">
        <v>209</v>
      </c>
      <c r="B543" t="s">
        <v>13</v>
      </c>
      <c r="C543" t="s">
        <v>153</v>
      </c>
      <c r="D543" t="s">
        <v>146</v>
      </c>
      <c r="E543" t="s">
        <v>219</v>
      </c>
      <c r="F543" t="s">
        <v>18</v>
      </c>
      <c r="G543" t="s">
        <v>18</v>
      </c>
      <c r="H543">
        <v>0</v>
      </c>
      <c r="I543">
        <v>0</v>
      </c>
      <c r="J543">
        <v>0</v>
      </c>
      <c r="K543">
        <v>25</v>
      </c>
      <c r="L543">
        <v>24</v>
      </c>
      <c r="M543">
        <v>0</v>
      </c>
    </row>
    <row r="544" spans="1:13" x14ac:dyDescent="0.35">
      <c r="A544" t="s">
        <v>209</v>
      </c>
      <c r="B544" t="s">
        <v>13</v>
      </c>
      <c r="C544" t="s">
        <v>154</v>
      </c>
      <c r="D544" t="s">
        <v>146</v>
      </c>
      <c r="E544" t="s">
        <v>219</v>
      </c>
      <c r="F544" t="s">
        <v>18</v>
      </c>
      <c r="G544" t="s">
        <v>18</v>
      </c>
      <c r="H544">
        <v>0</v>
      </c>
      <c r="I544">
        <v>0</v>
      </c>
      <c r="J544">
        <v>0</v>
      </c>
      <c r="K544">
        <v>49</v>
      </c>
      <c r="L544">
        <v>41</v>
      </c>
      <c r="M544">
        <v>0</v>
      </c>
    </row>
    <row r="545" spans="1:13" x14ac:dyDescent="0.35">
      <c r="A545" t="s">
        <v>209</v>
      </c>
      <c r="B545" t="s">
        <v>13</v>
      </c>
      <c r="C545" t="s">
        <v>148</v>
      </c>
      <c r="D545" t="s">
        <v>146</v>
      </c>
      <c r="E545" t="s">
        <v>219</v>
      </c>
      <c r="F545" t="s">
        <v>18</v>
      </c>
      <c r="G545" t="s">
        <v>18</v>
      </c>
      <c r="H545">
        <v>5</v>
      </c>
      <c r="I545">
        <v>0</v>
      </c>
      <c r="J545">
        <v>3</v>
      </c>
      <c r="K545">
        <v>224</v>
      </c>
      <c r="L545">
        <v>216</v>
      </c>
      <c r="M545">
        <v>2.3148148148148147E-2</v>
      </c>
    </row>
    <row r="546" spans="1:13" x14ac:dyDescent="0.35">
      <c r="A546" t="s">
        <v>209</v>
      </c>
      <c r="B546" t="s">
        <v>13</v>
      </c>
      <c r="C546" t="s">
        <v>155</v>
      </c>
      <c r="D546" t="s">
        <v>146</v>
      </c>
      <c r="E546" t="s">
        <v>219</v>
      </c>
      <c r="F546" t="s">
        <v>18</v>
      </c>
      <c r="G546" t="s">
        <v>18</v>
      </c>
      <c r="H546">
        <v>4</v>
      </c>
      <c r="I546">
        <v>0</v>
      </c>
      <c r="J546">
        <v>0</v>
      </c>
      <c r="K546">
        <v>66</v>
      </c>
      <c r="L546">
        <v>60</v>
      </c>
      <c r="M546">
        <v>6.6666666666666666E-2</v>
      </c>
    </row>
    <row r="547" spans="1:13" x14ac:dyDescent="0.35">
      <c r="A547" t="s">
        <v>209</v>
      </c>
      <c r="B547" t="s">
        <v>13</v>
      </c>
      <c r="C547" t="s">
        <v>157</v>
      </c>
      <c r="D547" t="s">
        <v>146</v>
      </c>
      <c r="E547" t="s">
        <v>219</v>
      </c>
      <c r="F547" t="s">
        <v>18</v>
      </c>
      <c r="G547" t="s">
        <v>18</v>
      </c>
      <c r="H547">
        <v>2</v>
      </c>
      <c r="I547">
        <v>0</v>
      </c>
      <c r="J547">
        <v>0</v>
      </c>
      <c r="K547">
        <v>522</v>
      </c>
      <c r="L547">
        <v>517</v>
      </c>
      <c r="M547">
        <v>3.8684719535783366E-3</v>
      </c>
    </row>
    <row r="548" spans="1:13" x14ac:dyDescent="0.35">
      <c r="A548" t="s">
        <v>209</v>
      </c>
      <c r="B548" t="s">
        <v>13</v>
      </c>
      <c r="C548" t="s">
        <v>158</v>
      </c>
      <c r="D548" t="s">
        <v>146</v>
      </c>
      <c r="E548" t="s">
        <v>219</v>
      </c>
      <c r="F548" t="s">
        <v>18</v>
      </c>
      <c r="G548" t="s">
        <v>18</v>
      </c>
      <c r="H548">
        <v>2</v>
      </c>
      <c r="I548">
        <v>0</v>
      </c>
      <c r="J548">
        <v>1</v>
      </c>
      <c r="K548">
        <v>438</v>
      </c>
      <c r="L548">
        <v>426</v>
      </c>
      <c r="M548">
        <v>4.6948356807511738E-3</v>
      </c>
    </row>
    <row r="549" spans="1:13" x14ac:dyDescent="0.35">
      <c r="A549" t="s">
        <v>209</v>
      </c>
      <c r="B549" t="s">
        <v>13</v>
      </c>
      <c r="C549" t="s">
        <v>154</v>
      </c>
      <c r="D549" t="s">
        <v>146</v>
      </c>
      <c r="E549" t="s">
        <v>219</v>
      </c>
      <c r="F549" t="s">
        <v>18</v>
      </c>
      <c r="G549" t="s">
        <v>18</v>
      </c>
      <c r="H549">
        <v>196</v>
      </c>
      <c r="I549">
        <v>0</v>
      </c>
      <c r="J549">
        <v>0</v>
      </c>
      <c r="K549">
        <v>2066</v>
      </c>
      <c r="L549">
        <v>1615</v>
      </c>
      <c r="M549">
        <v>0.12136222910216718</v>
      </c>
    </row>
    <row r="550" spans="1:13" x14ac:dyDescent="0.35">
      <c r="A550" t="s">
        <v>209</v>
      </c>
      <c r="B550" t="s">
        <v>13</v>
      </c>
      <c r="C550" t="s">
        <v>158</v>
      </c>
      <c r="D550" t="s">
        <v>146</v>
      </c>
      <c r="E550" t="s">
        <v>219</v>
      </c>
      <c r="F550" t="s">
        <v>18</v>
      </c>
      <c r="G550" t="s">
        <v>18</v>
      </c>
      <c r="H550">
        <v>14181</v>
      </c>
      <c r="I550">
        <v>0</v>
      </c>
      <c r="J550">
        <v>35</v>
      </c>
      <c r="K550">
        <v>372438</v>
      </c>
      <c r="L550">
        <v>78810</v>
      </c>
      <c r="M550">
        <v>0.17993909402360106</v>
      </c>
    </row>
    <row r="551" spans="1:13" x14ac:dyDescent="0.35">
      <c r="A551" t="s">
        <v>209</v>
      </c>
      <c r="B551" t="s">
        <v>13</v>
      </c>
      <c r="C551" t="s">
        <v>154</v>
      </c>
      <c r="D551" t="s">
        <v>146</v>
      </c>
      <c r="E551" t="s">
        <v>220</v>
      </c>
      <c r="F551" t="s">
        <v>215</v>
      </c>
      <c r="G551" t="s">
        <v>215</v>
      </c>
      <c r="H551">
        <v>1</v>
      </c>
      <c r="I551">
        <v>0</v>
      </c>
      <c r="J551">
        <v>0</v>
      </c>
      <c r="K551">
        <v>73</v>
      </c>
      <c r="L551">
        <v>48</v>
      </c>
      <c r="M551">
        <v>2.0833333333333332E-2</v>
      </c>
    </row>
    <row r="552" spans="1:13" x14ac:dyDescent="0.35">
      <c r="A552" t="s">
        <v>209</v>
      </c>
      <c r="B552" t="s">
        <v>13</v>
      </c>
      <c r="C552" t="s">
        <v>149</v>
      </c>
      <c r="D552" t="s">
        <v>146</v>
      </c>
      <c r="E552" t="s">
        <v>220</v>
      </c>
      <c r="F552" t="s">
        <v>215</v>
      </c>
      <c r="G552" t="s">
        <v>215</v>
      </c>
      <c r="H552">
        <v>0</v>
      </c>
      <c r="I552">
        <v>0</v>
      </c>
      <c r="J552">
        <v>0</v>
      </c>
      <c r="K552">
        <v>135</v>
      </c>
      <c r="L552">
        <v>130</v>
      </c>
      <c r="M552">
        <v>0</v>
      </c>
    </row>
    <row r="553" spans="1:13" x14ac:dyDescent="0.35">
      <c r="A553" t="s">
        <v>209</v>
      </c>
      <c r="B553" t="s">
        <v>13</v>
      </c>
      <c r="C553" t="s">
        <v>153</v>
      </c>
      <c r="D553" t="s">
        <v>146</v>
      </c>
      <c r="E553" t="s">
        <v>220</v>
      </c>
      <c r="F553" t="s">
        <v>215</v>
      </c>
      <c r="G553" t="s">
        <v>215</v>
      </c>
      <c r="H553">
        <v>0</v>
      </c>
      <c r="I553">
        <v>0</v>
      </c>
      <c r="J553">
        <v>0</v>
      </c>
      <c r="K553">
        <v>26</v>
      </c>
      <c r="L553">
        <v>24</v>
      </c>
      <c r="M553">
        <v>0</v>
      </c>
    </row>
    <row r="554" spans="1:13" x14ac:dyDescent="0.35">
      <c r="A554" t="s">
        <v>209</v>
      </c>
      <c r="B554" t="s">
        <v>13</v>
      </c>
      <c r="C554" t="s">
        <v>212</v>
      </c>
      <c r="D554" t="s">
        <v>146</v>
      </c>
      <c r="E554" t="s">
        <v>220</v>
      </c>
      <c r="F554" t="s">
        <v>215</v>
      </c>
      <c r="G554" t="s">
        <v>215</v>
      </c>
      <c r="H554">
        <v>9</v>
      </c>
      <c r="I554">
        <v>0</v>
      </c>
      <c r="J554">
        <v>0</v>
      </c>
      <c r="K554">
        <v>142</v>
      </c>
      <c r="L554">
        <v>136</v>
      </c>
      <c r="M554">
        <v>6.6176470588235295E-2</v>
      </c>
    </row>
    <row r="555" spans="1:13" x14ac:dyDescent="0.35">
      <c r="A555" t="s">
        <v>209</v>
      </c>
      <c r="B555" t="s">
        <v>13</v>
      </c>
      <c r="C555" t="s">
        <v>152</v>
      </c>
      <c r="D555" t="s">
        <v>146</v>
      </c>
      <c r="E555" t="s">
        <v>220</v>
      </c>
      <c r="F555" t="s">
        <v>215</v>
      </c>
      <c r="G555" t="s">
        <v>215</v>
      </c>
      <c r="H555">
        <v>2</v>
      </c>
      <c r="I555">
        <v>0</v>
      </c>
      <c r="J555">
        <v>1</v>
      </c>
      <c r="K555">
        <v>12</v>
      </c>
      <c r="L555">
        <v>12</v>
      </c>
      <c r="M555">
        <v>0.16666666666666666</v>
      </c>
    </row>
    <row r="556" spans="1:13" x14ac:dyDescent="0.35">
      <c r="A556" t="s">
        <v>209</v>
      </c>
      <c r="B556" t="s">
        <v>13</v>
      </c>
      <c r="C556" t="s">
        <v>158</v>
      </c>
      <c r="D556" t="s">
        <v>146</v>
      </c>
      <c r="E556" t="s">
        <v>220</v>
      </c>
      <c r="F556" t="s">
        <v>215</v>
      </c>
      <c r="G556" t="s">
        <v>215</v>
      </c>
      <c r="H556">
        <v>7</v>
      </c>
      <c r="I556">
        <v>0</v>
      </c>
      <c r="J556">
        <v>1</v>
      </c>
      <c r="K556">
        <v>573</v>
      </c>
      <c r="L556">
        <v>567</v>
      </c>
      <c r="M556">
        <v>1.2345679012345678E-2</v>
      </c>
    </row>
    <row r="557" spans="1:13" x14ac:dyDescent="0.35">
      <c r="A557" t="s">
        <v>209</v>
      </c>
      <c r="B557" t="s">
        <v>13</v>
      </c>
      <c r="C557" t="s">
        <v>151</v>
      </c>
      <c r="D557" t="s">
        <v>146</v>
      </c>
      <c r="E557" t="s">
        <v>220</v>
      </c>
      <c r="F557" t="s">
        <v>215</v>
      </c>
      <c r="G557" t="s">
        <v>215</v>
      </c>
      <c r="H557">
        <v>1</v>
      </c>
      <c r="I557">
        <v>0</v>
      </c>
      <c r="J557">
        <v>0</v>
      </c>
      <c r="K557">
        <v>38</v>
      </c>
      <c r="L557">
        <v>33</v>
      </c>
      <c r="M557">
        <v>3.0303030303030304E-2</v>
      </c>
    </row>
    <row r="558" spans="1:13" x14ac:dyDescent="0.35">
      <c r="A558" t="s">
        <v>209</v>
      </c>
      <c r="B558" t="s">
        <v>13</v>
      </c>
      <c r="C558" t="s">
        <v>150</v>
      </c>
      <c r="D558" t="s">
        <v>146</v>
      </c>
      <c r="E558" t="s">
        <v>220</v>
      </c>
      <c r="F558" t="s">
        <v>215</v>
      </c>
      <c r="G558" t="s">
        <v>215</v>
      </c>
      <c r="H558">
        <v>0</v>
      </c>
      <c r="I558">
        <v>0</v>
      </c>
      <c r="J558">
        <v>0</v>
      </c>
      <c r="K558">
        <v>59</v>
      </c>
      <c r="L558">
        <v>59</v>
      </c>
      <c r="M558">
        <v>0</v>
      </c>
    </row>
    <row r="559" spans="1:13" x14ac:dyDescent="0.35">
      <c r="A559" t="s">
        <v>209</v>
      </c>
      <c r="B559" t="s">
        <v>13</v>
      </c>
      <c r="C559" t="s">
        <v>148</v>
      </c>
      <c r="D559" t="s">
        <v>146</v>
      </c>
      <c r="E559" t="s">
        <v>220</v>
      </c>
      <c r="F559" t="s">
        <v>215</v>
      </c>
      <c r="G559" t="s">
        <v>215</v>
      </c>
      <c r="H559">
        <v>4</v>
      </c>
      <c r="I559">
        <v>0</v>
      </c>
      <c r="J559">
        <v>1</v>
      </c>
      <c r="K559">
        <v>230</v>
      </c>
      <c r="L559">
        <v>220</v>
      </c>
      <c r="M559">
        <v>1.8181818181818181E-2</v>
      </c>
    </row>
    <row r="560" spans="1:13" x14ac:dyDescent="0.35">
      <c r="A560" t="s">
        <v>209</v>
      </c>
      <c r="B560" t="s">
        <v>13</v>
      </c>
      <c r="C560" t="s">
        <v>155</v>
      </c>
      <c r="D560" t="s">
        <v>146</v>
      </c>
      <c r="E560" t="s">
        <v>220</v>
      </c>
      <c r="F560" t="s">
        <v>215</v>
      </c>
      <c r="G560" t="s">
        <v>215</v>
      </c>
      <c r="H560">
        <v>3</v>
      </c>
      <c r="I560">
        <v>0</v>
      </c>
      <c r="J560">
        <v>0</v>
      </c>
      <c r="K560">
        <v>76</v>
      </c>
      <c r="L560">
        <v>69</v>
      </c>
      <c r="M560">
        <v>4.3478260869565216E-2</v>
      </c>
    </row>
    <row r="561" spans="1:13" x14ac:dyDescent="0.35">
      <c r="A561" t="s">
        <v>209</v>
      </c>
      <c r="B561" t="s">
        <v>13</v>
      </c>
      <c r="C561" t="s">
        <v>157</v>
      </c>
      <c r="D561" t="s">
        <v>146</v>
      </c>
      <c r="E561" t="s">
        <v>220</v>
      </c>
      <c r="F561" t="s">
        <v>215</v>
      </c>
      <c r="G561" t="s">
        <v>215</v>
      </c>
      <c r="H561">
        <v>1</v>
      </c>
      <c r="I561">
        <v>0</v>
      </c>
      <c r="J561">
        <v>0</v>
      </c>
      <c r="K561">
        <v>511</v>
      </c>
      <c r="L561">
        <v>503</v>
      </c>
      <c r="M561">
        <v>1.9880715705765406E-3</v>
      </c>
    </row>
    <row r="562" spans="1:13" x14ac:dyDescent="0.35">
      <c r="A562" t="s">
        <v>209</v>
      </c>
      <c r="B562" t="s">
        <v>13</v>
      </c>
      <c r="C562" t="s">
        <v>156</v>
      </c>
      <c r="D562" t="s">
        <v>146</v>
      </c>
      <c r="E562" t="s">
        <v>220</v>
      </c>
      <c r="F562" t="s">
        <v>215</v>
      </c>
      <c r="G562" t="s">
        <v>215</v>
      </c>
      <c r="H562">
        <v>5</v>
      </c>
      <c r="I562">
        <v>0</v>
      </c>
      <c r="J562">
        <v>3</v>
      </c>
      <c r="K562">
        <v>47</v>
      </c>
      <c r="L562">
        <v>43</v>
      </c>
      <c r="M562">
        <v>0.11627906976744186</v>
      </c>
    </row>
    <row r="563" spans="1:13" x14ac:dyDescent="0.35">
      <c r="A563" t="s">
        <v>209</v>
      </c>
      <c r="B563" t="s">
        <v>13</v>
      </c>
      <c r="C563" t="s">
        <v>149</v>
      </c>
      <c r="D563" t="s">
        <v>146</v>
      </c>
      <c r="E563" t="s">
        <v>221</v>
      </c>
      <c r="F563" t="s">
        <v>215</v>
      </c>
      <c r="G563" t="s">
        <v>215</v>
      </c>
      <c r="H563">
        <v>1</v>
      </c>
      <c r="I563">
        <v>0</v>
      </c>
      <c r="J563">
        <v>0</v>
      </c>
      <c r="K563">
        <v>135</v>
      </c>
      <c r="L563">
        <v>132</v>
      </c>
      <c r="M563">
        <v>7.575757575757576E-3</v>
      </c>
    </row>
    <row r="564" spans="1:13" x14ac:dyDescent="0.35">
      <c r="A564" t="s">
        <v>209</v>
      </c>
      <c r="B564" t="s">
        <v>13</v>
      </c>
      <c r="C564" t="s">
        <v>212</v>
      </c>
      <c r="D564" t="s">
        <v>146</v>
      </c>
      <c r="E564" t="s">
        <v>221</v>
      </c>
      <c r="F564" t="s">
        <v>215</v>
      </c>
      <c r="G564" t="s">
        <v>215</v>
      </c>
      <c r="H564">
        <v>3</v>
      </c>
      <c r="I564">
        <v>0</v>
      </c>
      <c r="J564">
        <v>0</v>
      </c>
      <c r="K564">
        <v>51</v>
      </c>
      <c r="L564">
        <v>46</v>
      </c>
      <c r="M564">
        <v>6.5217391304347824E-2</v>
      </c>
    </row>
    <row r="565" spans="1:13" x14ac:dyDescent="0.35">
      <c r="A565" t="s">
        <v>209</v>
      </c>
      <c r="B565" t="s">
        <v>13</v>
      </c>
      <c r="C565" t="s">
        <v>150</v>
      </c>
      <c r="D565" t="s">
        <v>146</v>
      </c>
      <c r="E565" t="s">
        <v>221</v>
      </c>
      <c r="F565" t="s">
        <v>215</v>
      </c>
      <c r="G565" t="s">
        <v>215</v>
      </c>
      <c r="H565">
        <v>0</v>
      </c>
      <c r="I565">
        <v>0</v>
      </c>
      <c r="J565">
        <v>0</v>
      </c>
      <c r="K565">
        <v>81</v>
      </c>
      <c r="L565">
        <v>81</v>
      </c>
      <c r="M565">
        <v>0</v>
      </c>
    </row>
    <row r="566" spans="1:13" x14ac:dyDescent="0.35">
      <c r="A566" t="s">
        <v>209</v>
      </c>
      <c r="B566" t="s">
        <v>13</v>
      </c>
      <c r="C566" t="s">
        <v>151</v>
      </c>
      <c r="D566" t="s">
        <v>146</v>
      </c>
      <c r="E566" t="s">
        <v>221</v>
      </c>
      <c r="F566" t="s">
        <v>215</v>
      </c>
      <c r="G566" t="s">
        <v>215</v>
      </c>
      <c r="H566">
        <v>3</v>
      </c>
      <c r="I566">
        <v>0</v>
      </c>
      <c r="J566">
        <v>1</v>
      </c>
      <c r="K566">
        <v>38</v>
      </c>
      <c r="L566">
        <v>34</v>
      </c>
      <c r="M566">
        <v>8.8235294117647065E-2</v>
      </c>
    </row>
    <row r="567" spans="1:13" x14ac:dyDescent="0.35">
      <c r="A567" t="s">
        <v>209</v>
      </c>
      <c r="B567" t="s">
        <v>13</v>
      </c>
      <c r="C567" t="s">
        <v>152</v>
      </c>
      <c r="D567" t="s">
        <v>146</v>
      </c>
      <c r="E567" t="s">
        <v>221</v>
      </c>
      <c r="F567" t="s">
        <v>215</v>
      </c>
      <c r="G567" t="s">
        <v>215</v>
      </c>
      <c r="H567">
        <v>7</v>
      </c>
      <c r="I567">
        <v>0</v>
      </c>
      <c r="J567">
        <v>2</v>
      </c>
      <c r="K567">
        <v>17</v>
      </c>
      <c r="L567">
        <v>17</v>
      </c>
      <c r="M567">
        <v>0.41176470588235292</v>
      </c>
    </row>
    <row r="568" spans="1:13" x14ac:dyDescent="0.35">
      <c r="A568" t="s">
        <v>209</v>
      </c>
      <c r="B568" t="s">
        <v>13</v>
      </c>
      <c r="C568" t="s">
        <v>153</v>
      </c>
      <c r="D568" t="s">
        <v>146</v>
      </c>
      <c r="E568" t="s">
        <v>221</v>
      </c>
      <c r="F568" t="s">
        <v>215</v>
      </c>
      <c r="G568" t="s">
        <v>215</v>
      </c>
      <c r="H568">
        <v>0</v>
      </c>
      <c r="I568">
        <v>0</v>
      </c>
      <c r="J568">
        <v>0</v>
      </c>
      <c r="K568">
        <v>23</v>
      </c>
      <c r="L568">
        <v>22</v>
      </c>
      <c r="M568">
        <v>0</v>
      </c>
    </row>
    <row r="569" spans="1:13" x14ac:dyDescent="0.35">
      <c r="A569" t="s">
        <v>209</v>
      </c>
      <c r="B569" t="s">
        <v>13</v>
      </c>
      <c r="C569" t="s">
        <v>154</v>
      </c>
      <c r="D569" t="s">
        <v>146</v>
      </c>
      <c r="E569" t="s">
        <v>221</v>
      </c>
      <c r="F569" t="s">
        <v>215</v>
      </c>
      <c r="G569" t="s">
        <v>215</v>
      </c>
      <c r="H569">
        <v>13</v>
      </c>
      <c r="I569">
        <v>1</v>
      </c>
      <c r="J569">
        <v>0</v>
      </c>
      <c r="K569">
        <v>90</v>
      </c>
      <c r="L569">
        <v>60</v>
      </c>
      <c r="M569">
        <v>0.21666666666666667</v>
      </c>
    </row>
    <row r="570" spans="1:13" x14ac:dyDescent="0.35">
      <c r="A570" t="s">
        <v>209</v>
      </c>
      <c r="B570" t="s">
        <v>13</v>
      </c>
      <c r="C570" t="s">
        <v>148</v>
      </c>
      <c r="D570" t="s">
        <v>146</v>
      </c>
      <c r="E570" t="s">
        <v>221</v>
      </c>
      <c r="F570" t="s">
        <v>215</v>
      </c>
      <c r="G570" t="s">
        <v>215</v>
      </c>
      <c r="H570">
        <v>10</v>
      </c>
      <c r="I570">
        <v>0</v>
      </c>
      <c r="J570">
        <v>3</v>
      </c>
      <c r="K570">
        <v>252</v>
      </c>
      <c r="L570">
        <v>248</v>
      </c>
      <c r="M570">
        <v>4.0322580645161289E-2</v>
      </c>
    </row>
    <row r="571" spans="1:13" x14ac:dyDescent="0.35">
      <c r="A571" t="s">
        <v>209</v>
      </c>
      <c r="B571" t="s">
        <v>13</v>
      </c>
      <c r="C571" t="s">
        <v>155</v>
      </c>
      <c r="D571" t="s">
        <v>146</v>
      </c>
      <c r="E571" t="s">
        <v>221</v>
      </c>
      <c r="F571" t="s">
        <v>215</v>
      </c>
      <c r="G571" t="s">
        <v>215</v>
      </c>
      <c r="H571">
        <v>15</v>
      </c>
      <c r="I571">
        <v>0</v>
      </c>
      <c r="J571">
        <v>2</v>
      </c>
      <c r="K571">
        <v>62</v>
      </c>
      <c r="L571">
        <v>56</v>
      </c>
      <c r="M571">
        <v>0.26785714285714285</v>
      </c>
    </row>
    <row r="572" spans="1:13" x14ac:dyDescent="0.35">
      <c r="A572" t="s">
        <v>209</v>
      </c>
      <c r="B572" t="s">
        <v>13</v>
      </c>
      <c r="C572" t="s">
        <v>156</v>
      </c>
      <c r="D572" t="s">
        <v>146</v>
      </c>
      <c r="E572" t="s">
        <v>221</v>
      </c>
      <c r="F572" t="s">
        <v>215</v>
      </c>
      <c r="G572" t="s">
        <v>215</v>
      </c>
      <c r="H572">
        <v>6</v>
      </c>
      <c r="I572">
        <v>0</v>
      </c>
      <c r="J572">
        <v>1</v>
      </c>
      <c r="K572">
        <v>41</v>
      </c>
      <c r="L572">
        <v>36</v>
      </c>
      <c r="M572">
        <v>0.16666666666666666</v>
      </c>
    </row>
    <row r="573" spans="1:13" x14ac:dyDescent="0.35">
      <c r="A573" t="s">
        <v>209</v>
      </c>
      <c r="B573" t="s">
        <v>13</v>
      </c>
      <c r="C573" t="s">
        <v>157</v>
      </c>
      <c r="D573" t="s">
        <v>146</v>
      </c>
      <c r="E573" t="s">
        <v>221</v>
      </c>
      <c r="F573" t="s">
        <v>215</v>
      </c>
      <c r="G573" t="s">
        <v>215</v>
      </c>
      <c r="H573">
        <v>2</v>
      </c>
      <c r="I573">
        <v>0</v>
      </c>
      <c r="J573">
        <v>0</v>
      </c>
      <c r="K573">
        <v>565</v>
      </c>
      <c r="L573">
        <v>560</v>
      </c>
      <c r="M573">
        <v>3.5714285714285713E-3</v>
      </c>
    </row>
    <row r="574" spans="1:13" x14ac:dyDescent="0.35">
      <c r="A574" t="s">
        <v>209</v>
      </c>
      <c r="B574" t="s">
        <v>13</v>
      </c>
      <c r="C574" t="s">
        <v>158</v>
      </c>
      <c r="D574" t="s">
        <v>146</v>
      </c>
      <c r="E574" t="s">
        <v>221</v>
      </c>
      <c r="F574" t="s">
        <v>215</v>
      </c>
      <c r="G574" t="s">
        <v>215</v>
      </c>
      <c r="H574">
        <v>4</v>
      </c>
      <c r="I574">
        <v>0</v>
      </c>
      <c r="J574">
        <v>2</v>
      </c>
      <c r="K574">
        <v>531</v>
      </c>
      <c r="L574">
        <v>530</v>
      </c>
      <c r="M574">
        <v>7.5471698113207548E-3</v>
      </c>
    </row>
    <row r="575" spans="1:13" x14ac:dyDescent="0.35">
      <c r="A575" t="s">
        <v>209</v>
      </c>
      <c r="B575" t="s">
        <v>13</v>
      </c>
      <c r="C575" t="s">
        <v>212</v>
      </c>
      <c r="D575" t="s">
        <v>146</v>
      </c>
      <c r="E575" t="s">
        <v>222</v>
      </c>
      <c r="F575" t="s">
        <v>21</v>
      </c>
      <c r="G575" t="s">
        <v>21</v>
      </c>
      <c r="H575">
        <v>51184</v>
      </c>
      <c r="I575">
        <v>1</v>
      </c>
      <c r="J575">
        <v>154</v>
      </c>
      <c r="K575">
        <v>1285017</v>
      </c>
      <c r="L575">
        <v>282279</v>
      </c>
      <c r="M575">
        <v>0.18132415092869111</v>
      </c>
    </row>
    <row r="576" spans="1:13" x14ac:dyDescent="0.35">
      <c r="A576" t="s">
        <v>209</v>
      </c>
      <c r="B576" t="s">
        <v>13</v>
      </c>
      <c r="C576" t="s">
        <v>212</v>
      </c>
      <c r="D576" t="s">
        <v>146</v>
      </c>
      <c r="E576" t="s">
        <v>222</v>
      </c>
      <c r="F576" t="s">
        <v>21</v>
      </c>
      <c r="G576" t="s">
        <v>21</v>
      </c>
      <c r="H576">
        <v>9558</v>
      </c>
      <c r="I576">
        <v>0</v>
      </c>
      <c r="J576">
        <v>4</v>
      </c>
      <c r="K576">
        <v>198924</v>
      </c>
      <c r="L576">
        <v>70864</v>
      </c>
      <c r="M576">
        <v>0.1348780763151953</v>
      </c>
    </row>
    <row r="577" spans="1:13" x14ac:dyDescent="0.35">
      <c r="A577" t="s">
        <v>209</v>
      </c>
      <c r="B577" t="s">
        <v>13</v>
      </c>
      <c r="C577" t="s">
        <v>149</v>
      </c>
      <c r="D577" t="s">
        <v>146</v>
      </c>
      <c r="E577" t="s">
        <v>223</v>
      </c>
      <c r="F577" t="s">
        <v>21</v>
      </c>
      <c r="G577" t="s">
        <v>21</v>
      </c>
      <c r="H577">
        <v>26004</v>
      </c>
      <c r="I577">
        <v>0</v>
      </c>
      <c r="J577">
        <v>22</v>
      </c>
      <c r="K577">
        <v>569455</v>
      </c>
      <c r="L577">
        <v>162601</v>
      </c>
      <c r="M577">
        <v>0.15992521571208049</v>
      </c>
    </row>
    <row r="578" spans="1:13" x14ac:dyDescent="0.35">
      <c r="A578" t="s">
        <v>209</v>
      </c>
      <c r="B578" t="s">
        <v>13</v>
      </c>
      <c r="C578" t="s">
        <v>150</v>
      </c>
      <c r="D578" t="s">
        <v>146</v>
      </c>
      <c r="E578" t="s">
        <v>223</v>
      </c>
      <c r="F578" t="s">
        <v>21</v>
      </c>
      <c r="G578" t="s">
        <v>21</v>
      </c>
      <c r="H578">
        <v>10074</v>
      </c>
      <c r="I578">
        <v>0</v>
      </c>
      <c r="J578">
        <v>24</v>
      </c>
      <c r="K578">
        <v>299196</v>
      </c>
      <c r="L578">
        <v>104904</v>
      </c>
      <c r="M578">
        <v>9.6030656600320299E-2</v>
      </c>
    </row>
    <row r="579" spans="1:13" x14ac:dyDescent="0.35">
      <c r="A579" t="s">
        <v>209</v>
      </c>
      <c r="B579" t="s">
        <v>13</v>
      </c>
      <c r="C579" t="s">
        <v>155</v>
      </c>
      <c r="D579" t="s">
        <v>146</v>
      </c>
      <c r="E579" t="s">
        <v>223</v>
      </c>
      <c r="F579" t="s">
        <v>21</v>
      </c>
      <c r="G579" t="s">
        <v>21</v>
      </c>
      <c r="H579">
        <v>14793</v>
      </c>
      <c r="I579">
        <v>0</v>
      </c>
      <c r="J579">
        <v>72</v>
      </c>
      <c r="K579">
        <v>392607</v>
      </c>
      <c r="L579">
        <v>85063</v>
      </c>
      <c r="M579">
        <v>0.17390639878678157</v>
      </c>
    </row>
    <row r="580" spans="1:13" x14ac:dyDescent="0.35">
      <c r="A580" t="s">
        <v>209</v>
      </c>
      <c r="B580" t="s">
        <v>13</v>
      </c>
      <c r="C580" t="s">
        <v>157</v>
      </c>
      <c r="D580" t="s">
        <v>146</v>
      </c>
      <c r="E580" t="s">
        <v>223</v>
      </c>
      <c r="F580" t="s">
        <v>21</v>
      </c>
      <c r="G580" t="s">
        <v>21</v>
      </c>
      <c r="H580">
        <v>13663</v>
      </c>
      <c r="I580">
        <v>0</v>
      </c>
      <c r="J580">
        <v>3</v>
      </c>
      <c r="K580">
        <v>344840</v>
      </c>
      <c r="L580">
        <v>81909</v>
      </c>
      <c r="M580">
        <v>0.16680706637854203</v>
      </c>
    </row>
    <row r="581" spans="1:13" x14ac:dyDescent="0.35">
      <c r="A581" t="s">
        <v>209</v>
      </c>
      <c r="B581" t="s">
        <v>13</v>
      </c>
      <c r="C581" t="s">
        <v>154</v>
      </c>
      <c r="D581" t="s">
        <v>188</v>
      </c>
      <c r="E581" t="s">
        <v>224</v>
      </c>
      <c r="F581" t="s">
        <v>21</v>
      </c>
      <c r="G581" t="s">
        <v>21</v>
      </c>
      <c r="H581">
        <v>2003</v>
      </c>
      <c r="I581">
        <v>1</v>
      </c>
      <c r="J581">
        <v>5</v>
      </c>
      <c r="K581">
        <v>192792</v>
      </c>
      <c r="L581">
        <v>128893</v>
      </c>
      <c r="M581">
        <v>1.5540021568277563E-2</v>
      </c>
    </row>
    <row r="582" spans="1:13" x14ac:dyDescent="0.35">
      <c r="A582" t="s">
        <v>209</v>
      </c>
      <c r="B582" t="s">
        <v>36</v>
      </c>
      <c r="C582" t="s">
        <v>150</v>
      </c>
      <c r="D582" t="s">
        <v>146</v>
      </c>
      <c r="E582" t="s">
        <v>210</v>
      </c>
      <c r="F582" t="s">
        <v>199</v>
      </c>
      <c r="G582" t="s">
        <v>199</v>
      </c>
      <c r="H582">
        <v>1</v>
      </c>
      <c r="I582">
        <v>1</v>
      </c>
      <c r="J582">
        <v>0</v>
      </c>
      <c r="K582">
        <v>0</v>
      </c>
      <c r="L582">
        <v>5</v>
      </c>
      <c r="M582">
        <v>0.2</v>
      </c>
    </row>
    <row r="583" spans="1:13" x14ac:dyDescent="0.35">
      <c r="A583" t="s">
        <v>209</v>
      </c>
      <c r="B583" t="s">
        <v>36</v>
      </c>
      <c r="C583" t="s">
        <v>151</v>
      </c>
      <c r="D583" t="s">
        <v>146</v>
      </c>
      <c r="E583" t="s">
        <v>210</v>
      </c>
      <c r="F583" t="s">
        <v>199</v>
      </c>
      <c r="G583" t="s">
        <v>199</v>
      </c>
      <c r="H583">
        <v>0</v>
      </c>
      <c r="I583">
        <v>0</v>
      </c>
      <c r="J583">
        <v>0</v>
      </c>
      <c r="K583">
        <v>0</v>
      </c>
      <c r="L583">
        <v>10</v>
      </c>
      <c r="M583">
        <v>0</v>
      </c>
    </row>
    <row r="584" spans="1:13" x14ac:dyDescent="0.35">
      <c r="A584" t="s">
        <v>209</v>
      </c>
      <c r="B584" t="s">
        <v>36</v>
      </c>
      <c r="C584" t="s">
        <v>152</v>
      </c>
      <c r="D584" t="s">
        <v>146</v>
      </c>
      <c r="E584" t="s">
        <v>210</v>
      </c>
      <c r="F584" t="s">
        <v>199</v>
      </c>
      <c r="G584" t="s">
        <v>199</v>
      </c>
      <c r="H584">
        <v>9</v>
      </c>
      <c r="I584">
        <v>9</v>
      </c>
      <c r="J584">
        <v>0</v>
      </c>
      <c r="K584">
        <v>0</v>
      </c>
      <c r="L584">
        <v>133</v>
      </c>
      <c r="M584">
        <v>6.7669172932330823E-2</v>
      </c>
    </row>
    <row r="585" spans="1:13" x14ac:dyDescent="0.35">
      <c r="A585" t="s">
        <v>209</v>
      </c>
      <c r="B585" t="s">
        <v>36</v>
      </c>
      <c r="C585" t="s">
        <v>153</v>
      </c>
      <c r="D585" t="s">
        <v>146</v>
      </c>
      <c r="E585" t="s">
        <v>210</v>
      </c>
      <c r="F585" t="s">
        <v>199</v>
      </c>
      <c r="G585" t="s">
        <v>199</v>
      </c>
      <c r="H585">
        <v>0</v>
      </c>
      <c r="I585">
        <v>0</v>
      </c>
      <c r="J585">
        <v>0</v>
      </c>
      <c r="K585">
        <v>0</v>
      </c>
      <c r="L585">
        <v>3</v>
      </c>
      <c r="M585">
        <v>0</v>
      </c>
    </row>
    <row r="586" spans="1:13" x14ac:dyDescent="0.35">
      <c r="A586" t="s">
        <v>209</v>
      </c>
      <c r="B586" t="s">
        <v>36</v>
      </c>
      <c r="C586" t="s">
        <v>154</v>
      </c>
      <c r="D586" t="s">
        <v>146</v>
      </c>
      <c r="E586" t="s">
        <v>210</v>
      </c>
      <c r="F586" t="s">
        <v>199</v>
      </c>
      <c r="G586" t="s">
        <v>199</v>
      </c>
      <c r="H586">
        <v>0</v>
      </c>
      <c r="I586">
        <v>0</v>
      </c>
      <c r="J586">
        <v>0</v>
      </c>
      <c r="K586">
        <v>0</v>
      </c>
      <c r="L586">
        <v>12</v>
      </c>
      <c r="M586">
        <v>0</v>
      </c>
    </row>
    <row r="587" spans="1:13" x14ac:dyDescent="0.35">
      <c r="A587" t="s">
        <v>209</v>
      </c>
      <c r="B587" t="s">
        <v>36</v>
      </c>
      <c r="C587" t="s">
        <v>148</v>
      </c>
      <c r="D587" t="s">
        <v>146</v>
      </c>
      <c r="E587" t="s">
        <v>210</v>
      </c>
      <c r="F587" t="s">
        <v>199</v>
      </c>
      <c r="G587" t="s">
        <v>199</v>
      </c>
      <c r="H587">
        <v>23</v>
      </c>
      <c r="I587">
        <v>23</v>
      </c>
      <c r="J587">
        <v>0</v>
      </c>
      <c r="K587">
        <v>0</v>
      </c>
      <c r="L587">
        <v>259</v>
      </c>
      <c r="M587">
        <v>8.8803088803088806E-2</v>
      </c>
    </row>
    <row r="588" spans="1:13" x14ac:dyDescent="0.35">
      <c r="A588" t="s">
        <v>209</v>
      </c>
      <c r="B588" t="s">
        <v>36</v>
      </c>
      <c r="C588" t="s">
        <v>155</v>
      </c>
      <c r="D588" t="s">
        <v>146</v>
      </c>
      <c r="E588" t="s">
        <v>210</v>
      </c>
      <c r="F588" t="s">
        <v>199</v>
      </c>
      <c r="G588" t="s">
        <v>199</v>
      </c>
      <c r="H588">
        <v>1</v>
      </c>
      <c r="I588">
        <v>1</v>
      </c>
      <c r="J588">
        <v>0</v>
      </c>
      <c r="K588">
        <v>0</v>
      </c>
      <c r="L588">
        <v>7</v>
      </c>
      <c r="M588">
        <v>0.14285714285714285</v>
      </c>
    </row>
    <row r="589" spans="1:13" x14ac:dyDescent="0.35">
      <c r="A589" t="s">
        <v>209</v>
      </c>
      <c r="B589" t="s">
        <v>36</v>
      </c>
      <c r="C589" t="s">
        <v>156</v>
      </c>
      <c r="D589" t="s">
        <v>146</v>
      </c>
      <c r="E589" t="s">
        <v>210</v>
      </c>
      <c r="F589" t="s">
        <v>199</v>
      </c>
      <c r="G589" t="s">
        <v>199</v>
      </c>
      <c r="H589">
        <v>1</v>
      </c>
      <c r="I589">
        <v>1</v>
      </c>
      <c r="J589">
        <v>0</v>
      </c>
      <c r="K589">
        <v>0</v>
      </c>
      <c r="L589">
        <v>9</v>
      </c>
      <c r="M589">
        <v>0.1111111111111111</v>
      </c>
    </row>
    <row r="590" spans="1:13" x14ac:dyDescent="0.35">
      <c r="A590" t="s">
        <v>209</v>
      </c>
      <c r="B590" t="s">
        <v>36</v>
      </c>
      <c r="C590" t="s">
        <v>157</v>
      </c>
      <c r="D590" t="s">
        <v>146</v>
      </c>
      <c r="E590" t="s">
        <v>210</v>
      </c>
      <c r="F590" t="s">
        <v>199</v>
      </c>
      <c r="G590" t="s">
        <v>199</v>
      </c>
      <c r="H590">
        <v>0</v>
      </c>
      <c r="I590">
        <v>0</v>
      </c>
      <c r="J590">
        <v>0</v>
      </c>
      <c r="K590">
        <v>0</v>
      </c>
      <c r="L590">
        <v>4</v>
      </c>
      <c r="M590">
        <v>0</v>
      </c>
    </row>
    <row r="591" spans="1:13" x14ac:dyDescent="0.35">
      <c r="A591" t="s">
        <v>209</v>
      </c>
      <c r="B591" t="s">
        <v>36</v>
      </c>
      <c r="C591" t="s">
        <v>158</v>
      </c>
      <c r="D591" t="s">
        <v>146</v>
      </c>
      <c r="E591" t="s">
        <v>210</v>
      </c>
      <c r="F591" t="s">
        <v>199</v>
      </c>
      <c r="G591" t="s">
        <v>199</v>
      </c>
      <c r="H591">
        <v>3</v>
      </c>
      <c r="I591">
        <v>3</v>
      </c>
      <c r="J591">
        <v>0</v>
      </c>
      <c r="K591">
        <v>0</v>
      </c>
      <c r="L591">
        <v>50</v>
      </c>
      <c r="M591">
        <v>0.06</v>
      </c>
    </row>
    <row r="592" spans="1:13" x14ac:dyDescent="0.35">
      <c r="A592" t="s">
        <v>209</v>
      </c>
      <c r="B592" t="s">
        <v>36</v>
      </c>
      <c r="C592" t="s">
        <v>145</v>
      </c>
      <c r="D592" t="s">
        <v>146</v>
      </c>
      <c r="E592" t="s">
        <v>210</v>
      </c>
      <c r="F592" t="s">
        <v>199</v>
      </c>
      <c r="G592" t="s">
        <v>199</v>
      </c>
      <c r="H592">
        <v>0</v>
      </c>
      <c r="I592">
        <v>0</v>
      </c>
      <c r="J592">
        <v>0</v>
      </c>
      <c r="K592">
        <v>0</v>
      </c>
      <c r="L592">
        <v>24</v>
      </c>
      <c r="M592">
        <v>0</v>
      </c>
    </row>
    <row r="593" spans="1:13" x14ac:dyDescent="0.35">
      <c r="A593" t="s">
        <v>209</v>
      </c>
      <c r="B593" t="s">
        <v>36</v>
      </c>
      <c r="C593" t="s">
        <v>156</v>
      </c>
      <c r="D593" t="s">
        <v>146</v>
      </c>
      <c r="E593" t="s">
        <v>213</v>
      </c>
      <c r="F593" t="s">
        <v>199</v>
      </c>
      <c r="G593" t="s">
        <v>199</v>
      </c>
      <c r="H593">
        <v>2</v>
      </c>
      <c r="I593">
        <v>2</v>
      </c>
      <c r="J593">
        <v>0</v>
      </c>
      <c r="K593">
        <v>0</v>
      </c>
      <c r="L593">
        <v>10</v>
      </c>
      <c r="M593">
        <v>0.2</v>
      </c>
    </row>
    <row r="594" spans="1:13" x14ac:dyDescent="0.35">
      <c r="A594" t="s">
        <v>209</v>
      </c>
      <c r="B594" t="s">
        <v>36</v>
      </c>
      <c r="C594" t="s">
        <v>150</v>
      </c>
      <c r="D594" t="s">
        <v>146</v>
      </c>
      <c r="E594" t="s">
        <v>214</v>
      </c>
      <c r="F594" t="s">
        <v>199</v>
      </c>
      <c r="G594" t="s">
        <v>199</v>
      </c>
      <c r="H594">
        <v>0</v>
      </c>
      <c r="I594">
        <v>0</v>
      </c>
      <c r="J594">
        <v>0</v>
      </c>
      <c r="K594">
        <v>0</v>
      </c>
      <c r="L594">
        <v>3</v>
      </c>
      <c r="M594">
        <v>0</v>
      </c>
    </row>
    <row r="595" spans="1:13" x14ac:dyDescent="0.35">
      <c r="A595" t="s">
        <v>209</v>
      </c>
      <c r="B595" t="s">
        <v>36</v>
      </c>
      <c r="C595" t="s">
        <v>151</v>
      </c>
      <c r="D595" t="s">
        <v>146</v>
      </c>
      <c r="E595" t="s">
        <v>214</v>
      </c>
      <c r="F595" t="s">
        <v>199</v>
      </c>
      <c r="G595" t="s">
        <v>199</v>
      </c>
      <c r="H595">
        <v>0</v>
      </c>
      <c r="I595">
        <v>0</v>
      </c>
      <c r="J595">
        <v>0</v>
      </c>
      <c r="K595">
        <v>0</v>
      </c>
      <c r="L595">
        <v>11</v>
      </c>
      <c r="M595">
        <v>0</v>
      </c>
    </row>
    <row r="596" spans="1:13" x14ac:dyDescent="0.35">
      <c r="A596" t="s">
        <v>209</v>
      </c>
      <c r="B596" t="s">
        <v>36</v>
      </c>
      <c r="C596" t="s">
        <v>152</v>
      </c>
      <c r="D596" t="s">
        <v>146</v>
      </c>
      <c r="E596" t="s">
        <v>214</v>
      </c>
      <c r="F596" t="s">
        <v>199</v>
      </c>
      <c r="G596" t="s">
        <v>199</v>
      </c>
      <c r="H596">
        <v>10</v>
      </c>
      <c r="I596">
        <v>10</v>
      </c>
      <c r="J596">
        <v>0</v>
      </c>
      <c r="K596">
        <v>0</v>
      </c>
      <c r="L596">
        <v>90</v>
      </c>
      <c r="M596">
        <v>0.1111111111111111</v>
      </c>
    </row>
    <row r="597" spans="1:13" x14ac:dyDescent="0.35">
      <c r="A597" t="s">
        <v>209</v>
      </c>
      <c r="B597" t="s">
        <v>36</v>
      </c>
      <c r="C597" t="s">
        <v>153</v>
      </c>
      <c r="D597" t="s">
        <v>146</v>
      </c>
      <c r="E597" t="s">
        <v>214</v>
      </c>
      <c r="F597" t="s">
        <v>199</v>
      </c>
      <c r="G597" t="s">
        <v>199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35">
      <c r="A598" t="s">
        <v>209</v>
      </c>
      <c r="B598" t="s">
        <v>36</v>
      </c>
      <c r="C598" t="s">
        <v>154</v>
      </c>
      <c r="D598" t="s">
        <v>146</v>
      </c>
      <c r="E598" t="s">
        <v>214</v>
      </c>
      <c r="F598" t="s">
        <v>199</v>
      </c>
      <c r="G598" t="s">
        <v>199</v>
      </c>
      <c r="H598">
        <v>0</v>
      </c>
      <c r="I598">
        <v>0</v>
      </c>
      <c r="J598">
        <v>0</v>
      </c>
      <c r="K598">
        <v>0</v>
      </c>
      <c r="L598">
        <v>15</v>
      </c>
      <c r="M598">
        <v>0</v>
      </c>
    </row>
    <row r="599" spans="1:13" x14ac:dyDescent="0.35">
      <c r="A599" t="s">
        <v>209</v>
      </c>
      <c r="B599" t="s">
        <v>36</v>
      </c>
      <c r="C599" t="s">
        <v>148</v>
      </c>
      <c r="D599" t="s">
        <v>146</v>
      </c>
      <c r="E599" t="s">
        <v>214</v>
      </c>
      <c r="F599" t="s">
        <v>199</v>
      </c>
      <c r="G599" t="s">
        <v>199</v>
      </c>
      <c r="H599">
        <v>3</v>
      </c>
      <c r="I599">
        <v>3</v>
      </c>
      <c r="J599">
        <v>0</v>
      </c>
      <c r="K599">
        <v>0</v>
      </c>
      <c r="L599">
        <v>85</v>
      </c>
      <c r="M599">
        <v>3.5294117647058823E-2</v>
      </c>
    </row>
    <row r="600" spans="1:13" x14ac:dyDescent="0.35">
      <c r="A600" t="s">
        <v>209</v>
      </c>
      <c r="B600" t="s">
        <v>36</v>
      </c>
      <c r="C600" t="s">
        <v>155</v>
      </c>
      <c r="D600" t="s">
        <v>146</v>
      </c>
      <c r="E600" t="s">
        <v>214</v>
      </c>
      <c r="F600" t="s">
        <v>199</v>
      </c>
      <c r="G600" t="s">
        <v>199</v>
      </c>
      <c r="H600">
        <v>1</v>
      </c>
      <c r="I600">
        <v>1</v>
      </c>
      <c r="J600">
        <v>0</v>
      </c>
      <c r="K600">
        <v>0</v>
      </c>
      <c r="L600">
        <v>1</v>
      </c>
      <c r="M600">
        <v>1</v>
      </c>
    </row>
    <row r="601" spans="1:13" x14ac:dyDescent="0.35">
      <c r="A601" t="s">
        <v>209</v>
      </c>
      <c r="B601" t="s">
        <v>36</v>
      </c>
      <c r="C601" t="s">
        <v>156</v>
      </c>
      <c r="D601" t="s">
        <v>146</v>
      </c>
      <c r="E601" t="s">
        <v>214</v>
      </c>
      <c r="F601" t="s">
        <v>199</v>
      </c>
      <c r="G601" t="s">
        <v>199</v>
      </c>
      <c r="H601">
        <v>2</v>
      </c>
      <c r="I601">
        <v>2</v>
      </c>
      <c r="J601">
        <v>0</v>
      </c>
      <c r="K601">
        <v>0</v>
      </c>
      <c r="L601">
        <v>8</v>
      </c>
      <c r="M601">
        <v>0.25</v>
      </c>
    </row>
    <row r="602" spans="1:13" x14ac:dyDescent="0.35">
      <c r="A602" t="s">
        <v>209</v>
      </c>
      <c r="B602" t="s">
        <v>36</v>
      </c>
      <c r="C602" t="s">
        <v>157</v>
      </c>
      <c r="D602" t="s">
        <v>146</v>
      </c>
      <c r="E602" t="s">
        <v>214</v>
      </c>
      <c r="F602" t="s">
        <v>199</v>
      </c>
      <c r="G602" t="s">
        <v>199</v>
      </c>
      <c r="H602">
        <v>0</v>
      </c>
      <c r="I602">
        <v>0</v>
      </c>
      <c r="J602">
        <v>0</v>
      </c>
      <c r="K602">
        <v>0</v>
      </c>
      <c r="L602">
        <v>3</v>
      </c>
      <c r="M602">
        <v>0</v>
      </c>
    </row>
    <row r="603" spans="1:13" x14ac:dyDescent="0.35">
      <c r="A603" t="s">
        <v>209</v>
      </c>
      <c r="B603" t="s">
        <v>36</v>
      </c>
      <c r="C603" t="s">
        <v>158</v>
      </c>
      <c r="D603" t="s">
        <v>146</v>
      </c>
      <c r="E603" t="s">
        <v>214</v>
      </c>
      <c r="F603" t="s">
        <v>199</v>
      </c>
      <c r="G603" t="s">
        <v>199</v>
      </c>
      <c r="H603">
        <v>1</v>
      </c>
      <c r="I603">
        <v>1</v>
      </c>
      <c r="J603">
        <v>0</v>
      </c>
      <c r="K603">
        <v>0</v>
      </c>
      <c r="L603">
        <v>33</v>
      </c>
      <c r="M603">
        <v>3.0303030303030304E-2</v>
      </c>
    </row>
    <row r="604" spans="1:13" x14ac:dyDescent="0.35">
      <c r="A604" t="s">
        <v>209</v>
      </c>
      <c r="B604" t="s">
        <v>36</v>
      </c>
      <c r="C604" t="s">
        <v>156</v>
      </c>
      <c r="D604" t="s">
        <v>146</v>
      </c>
      <c r="E604" t="s">
        <v>216</v>
      </c>
      <c r="F604" t="s">
        <v>199</v>
      </c>
      <c r="G604" t="s">
        <v>199</v>
      </c>
      <c r="H604">
        <v>2</v>
      </c>
      <c r="I604">
        <v>2</v>
      </c>
      <c r="J604">
        <v>0</v>
      </c>
      <c r="K604">
        <v>0</v>
      </c>
      <c r="L604">
        <v>13</v>
      </c>
      <c r="M604">
        <v>0.15384615384615385</v>
      </c>
    </row>
    <row r="605" spans="1:13" x14ac:dyDescent="0.35">
      <c r="A605" t="s">
        <v>209</v>
      </c>
      <c r="B605" t="s">
        <v>36</v>
      </c>
      <c r="C605" t="s">
        <v>150</v>
      </c>
      <c r="D605" t="s">
        <v>146</v>
      </c>
      <c r="E605" t="s">
        <v>217</v>
      </c>
      <c r="F605" t="s">
        <v>199</v>
      </c>
      <c r="G605" t="s">
        <v>199</v>
      </c>
      <c r="H605">
        <v>5</v>
      </c>
      <c r="I605">
        <v>4</v>
      </c>
      <c r="J605">
        <v>0</v>
      </c>
      <c r="K605">
        <v>6</v>
      </c>
      <c r="L605">
        <v>6</v>
      </c>
      <c r="M605">
        <v>0.83333333333333337</v>
      </c>
    </row>
    <row r="606" spans="1:13" x14ac:dyDescent="0.35">
      <c r="A606" t="s">
        <v>209</v>
      </c>
      <c r="B606" t="s">
        <v>36</v>
      </c>
      <c r="C606" t="s">
        <v>151</v>
      </c>
      <c r="D606" t="s">
        <v>146</v>
      </c>
      <c r="E606" t="s">
        <v>217</v>
      </c>
      <c r="F606" t="s">
        <v>199</v>
      </c>
      <c r="G606" t="s">
        <v>199</v>
      </c>
      <c r="H606">
        <v>1</v>
      </c>
      <c r="I606">
        <v>1</v>
      </c>
      <c r="J606">
        <v>0</v>
      </c>
      <c r="K606">
        <v>13</v>
      </c>
      <c r="L606">
        <v>13</v>
      </c>
      <c r="M606">
        <v>7.6923076923076927E-2</v>
      </c>
    </row>
    <row r="607" spans="1:13" x14ac:dyDescent="0.35">
      <c r="A607" t="s">
        <v>209</v>
      </c>
      <c r="B607" t="s">
        <v>36</v>
      </c>
      <c r="C607" t="s">
        <v>152</v>
      </c>
      <c r="D607" t="s">
        <v>146</v>
      </c>
      <c r="E607" t="s">
        <v>217</v>
      </c>
      <c r="F607" t="s">
        <v>199</v>
      </c>
      <c r="G607" t="s">
        <v>199</v>
      </c>
      <c r="H607">
        <v>10</v>
      </c>
      <c r="I607">
        <v>10</v>
      </c>
      <c r="J607">
        <v>0</v>
      </c>
      <c r="K607">
        <v>130</v>
      </c>
      <c r="L607">
        <v>118</v>
      </c>
      <c r="M607">
        <v>8.4745762711864403E-2</v>
      </c>
    </row>
    <row r="608" spans="1:13" x14ac:dyDescent="0.35">
      <c r="A608" t="s">
        <v>209</v>
      </c>
      <c r="B608" t="s">
        <v>36</v>
      </c>
      <c r="C608" t="s">
        <v>153</v>
      </c>
      <c r="D608" t="s">
        <v>146</v>
      </c>
      <c r="E608" t="s">
        <v>217</v>
      </c>
      <c r="F608" t="s">
        <v>199</v>
      </c>
      <c r="G608" t="s">
        <v>199</v>
      </c>
      <c r="H608">
        <v>1</v>
      </c>
      <c r="I608">
        <v>1</v>
      </c>
      <c r="J608">
        <v>0</v>
      </c>
      <c r="K608">
        <v>5</v>
      </c>
      <c r="L608">
        <v>5</v>
      </c>
      <c r="M608">
        <v>0.2</v>
      </c>
    </row>
    <row r="609" spans="1:13" x14ac:dyDescent="0.35">
      <c r="A609" t="s">
        <v>209</v>
      </c>
      <c r="B609" t="s">
        <v>36</v>
      </c>
      <c r="C609" t="s">
        <v>154</v>
      </c>
      <c r="D609" t="s">
        <v>146</v>
      </c>
      <c r="E609" t="s">
        <v>217</v>
      </c>
      <c r="F609" t="s">
        <v>199</v>
      </c>
      <c r="G609" t="s">
        <v>199</v>
      </c>
      <c r="H609">
        <v>1</v>
      </c>
      <c r="I609">
        <v>1</v>
      </c>
      <c r="J609">
        <v>0</v>
      </c>
      <c r="K609">
        <v>19</v>
      </c>
      <c r="L609">
        <v>18</v>
      </c>
      <c r="M609">
        <v>5.5555555555555552E-2</v>
      </c>
    </row>
    <row r="610" spans="1:13" x14ac:dyDescent="0.35">
      <c r="A610" t="s">
        <v>209</v>
      </c>
      <c r="B610" t="s">
        <v>36</v>
      </c>
      <c r="C610" t="s">
        <v>148</v>
      </c>
      <c r="D610" t="s">
        <v>146</v>
      </c>
      <c r="E610" t="s">
        <v>217</v>
      </c>
      <c r="F610" t="s">
        <v>199</v>
      </c>
      <c r="G610" t="s">
        <v>199</v>
      </c>
      <c r="H610">
        <v>12</v>
      </c>
      <c r="I610">
        <v>12</v>
      </c>
      <c r="J610">
        <v>0</v>
      </c>
      <c r="K610">
        <v>150</v>
      </c>
      <c r="L610">
        <v>140</v>
      </c>
      <c r="M610">
        <v>8.5714285714285715E-2</v>
      </c>
    </row>
    <row r="611" spans="1:13" x14ac:dyDescent="0.35">
      <c r="A611" t="s">
        <v>209</v>
      </c>
      <c r="B611" t="s">
        <v>36</v>
      </c>
      <c r="C611" t="s">
        <v>155</v>
      </c>
      <c r="D611" t="s">
        <v>146</v>
      </c>
      <c r="E611" t="s">
        <v>217</v>
      </c>
      <c r="F611" t="s">
        <v>199</v>
      </c>
      <c r="G611" t="s">
        <v>199</v>
      </c>
      <c r="H611">
        <v>2</v>
      </c>
      <c r="I611">
        <v>2</v>
      </c>
      <c r="J611">
        <v>0</v>
      </c>
      <c r="K611">
        <v>5</v>
      </c>
      <c r="L611">
        <v>5</v>
      </c>
      <c r="M611">
        <v>0.4</v>
      </c>
    </row>
    <row r="612" spans="1:13" x14ac:dyDescent="0.35">
      <c r="A612" t="s">
        <v>209</v>
      </c>
      <c r="B612" t="s">
        <v>36</v>
      </c>
      <c r="C612" t="s">
        <v>157</v>
      </c>
      <c r="D612" t="s">
        <v>146</v>
      </c>
      <c r="E612" t="s">
        <v>217</v>
      </c>
      <c r="F612" t="s">
        <v>199</v>
      </c>
      <c r="G612" t="s">
        <v>199</v>
      </c>
      <c r="H612">
        <v>2</v>
      </c>
      <c r="I612">
        <v>2</v>
      </c>
      <c r="J612">
        <v>0</v>
      </c>
      <c r="K612">
        <v>11</v>
      </c>
      <c r="L612">
        <v>11</v>
      </c>
      <c r="M612">
        <v>0.18181818181818182</v>
      </c>
    </row>
    <row r="613" spans="1:13" x14ac:dyDescent="0.35">
      <c r="A613" t="s">
        <v>209</v>
      </c>
      <c r="B613" t="s">
        <v>36</v>
      </c>
      <c r="C613" t="s">
        <v>158</v>
      </c>
      <c r="D613" t="s">
        <v>146</v>
      </c>
      <c r="E613" t="s">
        <v>217</v>
      </c>
      <c r="F613" t="s">
        <v>199</v>
      </c>
      <c r="G613" t="s">
        <v>199</v>
      </c>
      <c r="H613">
        <v>6</v>
      </c>
      <c r="I613">
        <v>6</v>
      </c>
      <c r="J613">
        <v>0</v>
      </c>
      <c r="K613">
        <v>52</v>
      </c>
      <c r="L613">
        <v>51</v>
      </c>
      <c r="M613">
        <v>0.11764705882352941</v>
      </c>
    </row>
    <row r="614" spans="1:13" x14ac:dyDescent="0.35">
      <c r="A614" t="s">
        <v>209</v>
      </c>
      <c r="B614" t="s">
        <v>36</v>
      </c>
      <c r="C614" t="s">
        <v>156</v>
      </c>
      <c r="D614" t="s">
        <v>146</v>
      </c>
      <c r="E614" t="s">
        <v>217</v>
      </c>
      <c r="F614" t="s">
        <v>199</v>
      </c>
      <c r="G614" t="s">
        <v>199</v>
      </c>
      <c r="H614">
        <v>2</v>
      </c>
      <c r="I614">
        <v>2</v>
      </c>
      <c r="J614">
        <v>0</v>
      </c>
      <c r="K614">
        <v>12</v>
      </c>
      <c r="L614">
        <v>12</v>
      </c>
      <c r="M614">
        <v>0.16666666666666666</v>
      </c>
    </row>
    <row r="615" spans="1:13" x14ac:dyDescent="0.35">
      <c r="A615" t="s">
        <v>209</v>
      </c>
      <c r="B615" t="s">
        <v>36</v>
      </c>
      <c r="C615" t="s">
        <v>145</v>
      </c>
      <c r="D615" t="s">
        <v>162</v>
      </c>
      <c r="E615" t="s">
        <v>218</v>
      </c>
      <c r="F615" t="s">
        <v>199</v>
      </c>
      <c r="G615" t="s">
        <v>199</v>
      </c>
      <c r="H615">
        <v>5</v>
      </c>
      <c r="I615">
        <v>4</v>
      </c>
      <c r="J615">
        <v>0</v>
      </c>
      <c r="K615">
        <v>36</v>
      </c>
      <c r="L615">
        <v>31</v>
      </c>
      <c r="M615">
        <v>0.16129032258064516</v>
      </c>
    </row>
    <row r="616" spans="1:13" x14ac:dyDescent="0.35">
      <c r="A616" t="s">
        <v>209</v>
      </c>
      <c r="B616" t="s">
        <v>36</v>
      </c>
      <c r="C616" t="s">
        <v>150</v>
      </c>
      <c r="D616" t="s">
        <v>146</v>
      </c>
      <c r="E616" t="s">
        <v>219</v>
      </c>
      <c r="F616" t="s">
        <v>199</v>
      </c>
      <c r="G616" t="s">
        <v>199</v>
      </c>
      <c r="H616">
        <v>2</v>
      </c>
      <c r="I616">
        <v>2</v>
      </c>
      <c r="J616">
        <v>0</v>
      </c>
      <c r="K616">
        <v>9</v>
      </c>
      <c r="L616">
        <v>8</v>
      </c>
      <c r="M616">
        <v>0.25</v>
      </c>
    </row>
    <row r="617" spans="1:13" x14ac:dyDescent="0.35">
      <c r="A617" t="s">
        <v>209</v>
      </c>
      <c r="B617" t="s">
        <v>36</v>
      </c>
      <c r="C617" t="s">
        <v>151</v>
      </c>
      <c r="D617" t="s">
        <v>146</v>
      </c>
      <c r="E617" t="s">
        <v>219</v>
      </c>
      <c r="F617" t="s">
        <v>199</v>
      </c>
      <c r="G617" t="s">
        <v>199</v>
      </c>
      <c r="H617">
        <v>0</v>
      </c>
      <c r="I617">
        <v>0</v>
      </c>
      <c r="J617">
        <v>0</v>
      </c>
      <c r="K617">
        <v>19</v>
      </c>
      <c r="L617">
        <v>17</v>
      </c>
      <c r="M617">
        <v>0</v>
      </c>
    </row>
    <row r="618" spans="1:13" x14ac:dyDescent="0.35">
      <c r="A618" t="s">
        <v>209</v>
      </c>
      <c r="B618" t="s">
        <v>36</v>
      </c>
      <c r="C618" t="s">
        <v>152</v>
      </c>
      <c r="D618" t="s">
        <v>146</v>
      </c>
      <c r="E618" t="s">
        <v>219</v>
      </c>
      <c r="F618" t="s">
        <v>199</v>
      </c>
      <c r="G618" t="s">
        <v>199</v>
      </c>
      <c r="H618">
        <v>10</v>
      </c>
      <c r="I618">
        <v>10</v>
      </c>
      <c r="J618">
        <v>0</v>
      </c>
      <c r="K618">
        <v>149</v>
      </c>
      <c r="L618">
        <v>137</v>
      </c>
      <c r="M618">
        <v>7.2992700729927001E-2</v>
      </c>
    </row>
    <row r="619" spans="1:13" x14ac:dyDescent="0.35">
      <c r="A619" t="s">
        <v>209</v>
      </c>
      <c r="B619" t="s">
        <v>36</v>
      </c>
      <c r="C619" t="s">
        <v>153</v>
      </c>
      <c r="D619" t="s">
        <v>146</v>
      </c>
      <c r="E619" t="s">
        <v>219</v>
      </c>
      <c r="F619" t="s">
        <v>199</v>
      </c>
      <c r="G619" t="s">
        <v>199</v>
      </c>
      <c r="H619">
        <v>0</v>
      </c>
      <c r="I619">
        <v>0</v>
      </c>
      <c r="J619">
        <v>0</v>
      </c>
      <c r="K619">
        <v>8</v>
      </c>
      <c r="L619">
        <v>8</v>
      </c>
      <c r="M619">
        <v>0</v>
      </c>
    </row>
    <row r="620" spans="1:13" x14ac:dyDescent="0.35">
      <c r="A620" t="s">
        <v>209</v>
      </c>
      <c r="B620" t="s">
        <v>36</v>
      </c>
      <c r="C620" t="s">
        <v>154</v>
      </c>
      <c r="D620" t="s">
        <v>146</v>
      </c>
      <c r="E620" t="s">
        <v>219</v>
      </c>
      <c r="F620" t="s">
        <v>199</v>
      </c>
      <c r="G620" t="s">
        <v>199</v>
      </c>
      <c r="H620">
        <v>0</v>
      </c>
      <c r="I620">
        <v>0</v>
      </c>
      <c r="J620">
        <v>0</v>
      </c>
      <c r="K620">
        <v>15</v>
      </c>
      <c r="L620">
        <v>15</v>
      </c>
      <c r="M620">
        <v>0</v>
      </c>
    </row>
    <row r="621" spans="1:13" x14ac:dyDescent="0.35">
      <c r="A621" t="s">
        <v>209</v>
      </c>
      <c r="B621" t="s">
        <v>36</v>
      </c>
      <c r="C621" t="s">
        <v>148</v>
      </c>
      <c r="D621" t="s">
        <v>146</v>
      </c>
      <c r="E621" t="s">
        <v>219</v>
      </c>
      <c r="F621" t="s">
        <v>199</v>
      </c>
      <c r="G621" t="s">
        <v>199</v>
      </c>
      <c r="H621">
        <v>14</v>
      </c>
      <c r="I621">
        <v>14</v>
      </c>
      <c r="J621">
        <v>0</v>
      </c>
      <c r="K621">
        <v>174</v>
      </c>
      <c r="L621">
        <v>153</v>
      </c>
      <c r="M621">
        <v>9.1503267973856203E-2</v>
      </c>
    </row>
    <row r="622" spans="1:13" x14ac:dyDescent="0.35">
      <c r="A622" t="s">
        <v>209</v>
      </c>
      <c r="B622" t="s">
        <v>36</v>
      </c>
      <c r="C622" t="s">
        <v>155</v>
      </c>
      <c r="D622" t="s">
        <v>146</v>
      </c>
      <c r="E622" t="s">
        <v>219</v>
      </c>
      <c r="F622" t="s">
        <v>199</v>
      </c>
      <c r="G622" t="s">
        <v>199</v>
      </c>
      <c r="H622">
        <v>1</v>
      </c>
      <c r="I622">
        <v>1</v>
      </c>
      <c r="J622">
        <v>0</v>
      </c>
      <c r="K622">
        <v>6</v>
      </c>
      <c r="L622">
        <v>6</v>
      </c>
      <c r="M622">
        <v>0.16666666666666666</v>
      </c>
    </row>
    <row r="623" spans="1:13" x14ac:dyDescent="0.35">
      <c r="A623" t="s">
        <v>209</v>
      </c>
      <c r="B623" t="s">
        <v>36</v>
      </c>
      <c r="C623" t="s">
        <v>157</v>
      </c>
      <c r="D623" t="s">
        <v>146</v>
      </c>
      <c r="E623" t="s">
        <v>219</v>
      </c>
      <c r="F623" t="s">
        <v>199</v>
      </c>
      <c r="G623" t="s">
        <v>199</v>
      </c>
      <c r="H623">
        <v>0</v>
      </c>
      <c r="I623">
        <v>0</v>
      </c>
      <c r="J623">
        <v>0</v>
      </c>
      <c r="K623">
        <v>11</v>
      </c>
      <c r="L623">
        <v>10</v>
      </c>
      <c r="M623">
        <v>0</v>
      </c>
    </row>
    <row r="624" spans="1:13" x14ac:dyDescent="0.35">
      <c r="A624" t="s">
        <v>209</v>
      </c>
      <c r="B624" t="s">
        <v>36</v>
      </c>
      <c r="C624" t="s">
        <v>158</v>
      </c>
      <c r="D624" t="s">
        <v>146</v>
      </c>
      <c r="E624" t="s">
        <v>219</v>
      </c>
      <c r="F624" t="s">
        <v>199</v>
      </c>
      <c r="G624" t="s">
        <v>199</v>
      </c>
      <c r="H624">
        <v>3</v>
      </c>
      <c r="I624">
        <v>3</v>
      </c>
      <c r="J624">
        <v>0</v>
      </c>
      <c r="K624">
        <v>38</v>
      </c>
      <c r="L624">
        <v>37</v>
      </c>
      <c r="M624">
        <v>8.1081081081081086E-2</v>
      </c>
    </row>
    <row r="625" spans="1:13" x14ac:dyDescent="0.35">
      <c r="A625" t="s">
        <v>209</v>
      </c>
      <c r="B625" t="s">
        <v>36</v>
      </c>
      <c r="C625" t="s">
        <v>154</v>
      </c>
      <c r="D625" t="s">
        <v>146</v>
      </c>
      <c r="E625" t="s">
        <v>219</v>
      </c>
      <c r="F625" t="s">
        <v>199</v>
      </c>
      <c r="G625" t="s">
        <v>199</v>
      </c>
      <c r="H625">
        <v>0</v>
      </c>
      <c r="I625">
        <v>0</v>
      </c>
      <c r="J625">
        <v>0</v>
      </c>
      <c r="K625">
        <v>14</v>
      </c>
      <c r="L625">
        <v>14</v>
      </c>
      <c r="M625">
        <v>0</v>
      </c>
    </row>
    <row r="626" spans="1:13" x14ac:dyDescent="0.35">
      <c r="A626" t="s">
        <v>209</v>
      </c>
      <c r="B626" t="s">
        <v>36</v>
      </c>
      <c r="C626" t="s">
        <v>158</v>
      </c>
      <c r="D626" t="s">
        <v>146</v>
      </c>
      <c r="E626" t="s">
        <v>219</v>
      </c>
      <c r="F626" t="s">
        <v>199</v>
      </c>
      <c r="G626" t="s">
        <v>199</v>
      </c>
      <c r="H626">
        <v>3</v>
      </c>
      <c r="I626">
        <v>3</v>
      </c>
      <c r="J626">
        <v>0</v>
      </c>
      <c r="K626">
        <v>44</v>
      </c>
      <c r="L626">
        <v>41</v>
      </c>
      <c r="M626">
        <v>7.3170731707317069E-2</v>
      </c>
    </row>
    <row r="627" spans="1:13" x14ac:dyDescent="0.35">
      <c r="A627" t="s">
        <v>209</v>
      </c>
      <c r="B627" t="s">
        <v>36</v>
      </c>
      <c r="C627" t="s">
        <v>151</v>
      </c>
      <c r="D627" t="s">
        <v>146</v>
      </c>
      <c r="E627" t="s">
        <v>220</v>
      </c>
      <c r="F627" t="s">
        <v>199</v>
      </c>
      <c r="G627" t="s">
        <v>199</v>
      </c>
      <c r="H627">
        <v>0</v>
      </c>
      <c r="I627">
        <v>0</v>
      </c>
      <c r="J627">
        <v>0</v>
      </c>
      <c r="K627">
        <v>14</v>
      </c>
      <c r="L627">
        <v>14</v>
      </c>
      <c r="M627">
        <v>0</v>
      </c>
    </row>
    <row r="628" spans="1:13" x14ac:dyDescent="0.35">
      <c r="A628" t="s">
        <v>209</v>
      </c>
      <c r="B628" t="s">
        <v>36</v>
      </c>
      <c r="C628" t="s">
        <v>155</v>
      </c>
      <c r="D628" t="s">
        <v>146</v>
      </c>
      <c r="E628" t="s">
        <v>220</v>
      </c>
      <c r="F628" t="s">
        <v>199</v>
      </c>
      <c r="G628" t="s">
        <v>199</v>
      </c>
      <c r="H628">
        <v>0</v>
      </c>
      <c r="I628">
        <v>0</v>
      </c>
      <c r="J628">
        <v>0</v>
      </c>
      <c r="K628">
        <v>6</v>
      </c>
      <c r="L628">
        <v>6</v>
      </c>
      <c r="M628">
        <v>0</v>
      </c>
    </row>
    <row r="629" spans="1:13" x14ac:dyDescent="0.35">
      <c r="A629" t="s">
        <v>209</v>
      </c>
      <c r="B629" t="s">
        <v>36</v>
      </c>
      <c r="C629" t="s">
        <v>156</v>
      </c>
      <c r="D629" t="s">
        <v>146</v>
      </c>
      <c r="E629" t="s">
        <v>220</v>
      </c>
      <c r="F629" t="s">
        <v>199</v>
      </c>
      <c r="G629" t="s">
        <v>199</v>
      </c>
      <c r="H629">
        <v>1</v>
      </c>
      <c r="I629">
        <v>1</v>
      </c>
      <c r="J629">
        <v>0</v>
      </c>
      <c r="K629">
        <v>11</v>
      </c>
      <c r="L629">
        <v>10</v>
      </c>
      <c r="M629">
        <v>0.1</v>
      </c>
    </row>
    <row r="630" spans="1:13" x14ac:dyDescent="0.35">
      <c r="A630" t="s">
        <v>209</v>
      </c>
      <c r="B630" t="s">
        <v>36</v>
      </c>
      <c r="C630" t="s">
        <v>153</v>
      </c>
      <c r="D630" t="s">
        <v>146</v>
      </c>
      <c r="E630" t="s">
        <v>220</v>
      </c>
      <c r="F630" t="s">
        <v>199</v>
      </c>
      <c r="G630" t="s">
        <v>199</v>
      </c>
      <c r="H630">
        <v>0</v>
      </c>
      <c r="I630">
        <v>0</v>
      </c>
      <c r="J630">
        <v>0</v>
      </c>
      <c r="K630">
        <v>3</v>
      </c>
      <c r="L630">
        <v>3</v>
      </c>
      <c r="M630">
        <v>0</v>
      </c>
    </row>
    <row r="631" spans="1:13" x14ac:dyDescent="0.35">
      <c r="A631" t="s">
        <v>209</v>
      </c>
      <c r="B631" t="s">
        <v>36</v>
      </c>
      <c r="C631" t="s">
        <v>154</v>
      </c>
      <c r="D631" t="s">
        <v>146</v>
      </c>
      <c r="E631" t="s">
        <v>220</v>
      </c>
      <c r="F631" t="s">
        <v>199</v>
      </c>
      <c r="G631" t="s">
        <v>199</v>
      </c>
      <c r="H631">
        <v>0</v>
      </c>
      <c r="I631">
        <v>0</v>
      </c>
      <c r="J631">
        <v>0</v>
      </c>
      <c r="K631">
        <v>15</v>
      </c>
      <c r="L631">
        <v>12</v>
      </c>
      <c r="M631">
        <v>0</v>
      </c>
    </row>
    <row r="632" spans="1:13" x14ac:dyDescent="0.35">
      <c r="A632" t="s">
        <v>209</v>
      </c>
      <c r="B632" t="s">
        <v>36</v>
      </c>
      <c r="C632" t="s">
        <v>152</v>
      </c>
      <c r="D632" t="s">
        <v>146</v>
      </c>
      <c r="E632" t="s">
        <v>220</v>
      </c>
      <c r="F632" t="s">
        <v>199</v>
      </c>
      <c r="G632" t="s">
        <v>199</v>
      </c>
      <c r="H632">
        <v>8</v>
      </c>
      <c r="I632">
        <v>8</v>
      </c>
      <c r="J632">
        <v>0</v>
      </c>
      <c r="K632">
        <v>144</v>
      </c>
      <c r="L632">
        <v>125</v>
      </c>
      <c r="M632">
        <v>6.4000000000000001E-2</v>
      </c>
    </row>
    <row r="633" spans="1:13" x14ac:dyDescent="0.35">
      <c r="A633" t="s">
        <v>209</v>
      </c>
      <c r="B633" t="s">
        <v>36</v>
      </c>
      <c r="C633" t="s">
        <v>148</v>
      </c>
      <c r="D633" t="s">
        <v>146</v>
      </c>
      <c r="E633" t="s">
        <v>220</v>
      </c>
      <c r="F633" t="s">
        <v>199</v>
      </c>
      <c r="G633" t="s">
        <v>199</v>
      </c>
      <c r="H633">
        <v>14</v>
      </c>
      <c r="I633">
        <v>13</v>
      </c>
      <c r="J633">
        <v>0</v>
      </c>
      <c r="K633">
        <v>201</v>
      </c>
      <c r="L633">
        <v>191</v>
      </c>
      <c r="M633">
        <v>7.3298429319371722E-2</v>
      </c>
    </row>
    <row r="634" spans="1:13" x14ac:dyDescent="0.35">
      <c r="A634" t="s">
        <v>209</v>
      </c>
      <c r="B634" t="s">
        <v>36</v>
      </c>
      <c r="C634" t="s">
        <v>158</v>
      </c>
      <c r="D634" t="s">
        <v>146</v>
      </c>
      <c r="E634" t="s">
        <v>220</v>
      </c>
      <c r="F634" t="s">
        <v>199</v>
      </c>
      <c r="G634" t="s">
        <v>199</v>
      </c>
      <c r="H634">
        <v>1</v>
      </c>
      <c r="I634">
        <v>1</v>
      </c>
      <c r="J634">
        <v>0</v>
      </c>
      <c r="K634">
        <v>24</v>
      </c>
      <c r="L634">
        <v>24</v>
      </c>
      <c r="M634">
        <v>4.1666666666666664E-2</v>
      </c>
    </row>
    <row r="635" spans="1:13" x14ac:dyDescent="0.35">
      <c r="A635" t="s">
        <v>209</v>
      </c>
      <c r="B635" t="s">
        <v>36</v>
      </c>
      <c r="C635" t="s">
        <v>157</v>
      </c>
      <c r="D635" t="s">
        <v>146</v>
      </c>
      <c r="E635" t="s">
        <v>220</v>
      </c>
      <c r="F635" t="s">
        <v>199</v>
      </c>
      <c r="G635" t="s">
        <v>199</v>
      </c>
      <c r="H635">
        <v>0</v>
      </c>
      <c r="I635">
        <v>0</v>
      </c>
      <c r="J635">
        <v>0</v>
      </c>
      <c r="K635">
        <v>6</v>
      </c>
      <c r="L635">
        <v>6</v>
      </c>
      <c r="M635">
        <v>0</v>
      </c>
    </row>
    <row r="636" spans="1:13" x14ac:dyDescent="0.35">
      <c r="A636" t="s">
        <v>209</v>
      </c>
      <c r="B636" t="s">
        <v>36</v>
      </c>
      <c r="C636" t="s">
        <v>150</v>
      </c>
      <c r="D636" t="s">
        <v>146</v>
      </c>
      <c r="E636" t="s">
        <v>220</v>
      </c>
      <c r="F636" t="s">
        <v>199</v>
      </c>
      <c r="G636" t="s">
        <v>199</v>
      </c>
      <c r="H636">
        <v>0</v>
      </c>
      <c r="I636">
        <v>0</v>
      </c>
      <c r="J636">
        <v>0</v>
      </c>
      <c r="K636">
        <v>6</v>
      </c>
      <c r="L636">
        <v>6</v>
      </c>
      <c r="M636">
        <v>0</v>
      </c>
    </row>
    <row r="637" spans="1:13" x14ac:dyDescent="0.35">
      <c r="A637" t="s">
        <v>209</v>
      </c>
      <c r="B637" t="s">
        <v>36</v>
      </c>
      <c r="C637" t="s">
        <v>150</v>
      </c>
      <c r="D637" t="s">
        <v>146</v>
      </c>
      <c r="E637" t="s">
        <v>221</v>
      </c>
      <c r="F637" t="s">
        <v>199</v>
      </c>
      <c r="G637" t="s">
        <v>199</v>
      </c>
      <c r="H637">
        <v>0</v>
      </c>
      <c r="I637">
        <v>0</v>
      </c>
      <c r="J637">
        <v>0</v>
      </c>
      <c r="K637">
        <v>1</v>
      </c>
      <c r="L637">
        <v>1</v>
      </c>
      <c r="M637">
        <v>0</v>
      </c>
    </row>
    <row r="638" spans="1:13" x14ac:dyDescent="0.35">
      <c r="A638" t="s">
        <v>209</v>
      </c>
      <c r="B638" t="s">
        <v>36</v>
      </c>
      <c r="C638" t="s">
        <v>151</v>
      </c>
      <c r="D638" t="s">
        <v>146</v>
      </c>
      <c r="E638" t="s">
        <v>221</v>
      </c>
      <c r="F638" t="s">
        <v>199</v>
      </c>
      <c r="G638" t="s">
        <v>199</v>
      </c>
      <c r="H638">
        <v>0</v>
      </c>
      <c r="I638">
        <v>0</v>
      </c>
      <c r="J638">
        <v>0</v>
      </c>
      <c r="K638">
        <v>12</v>
      </c>
      <c r="L638">
        <v>12</v>
      </c>
      <c r="M638">
        <v>0</v>
      </c>
    </row>
    <row r="639" spans="1:13" x14ac:dyDescent="0.35">
      <c r="A639" t="s">
        <v>209</v>
      </c>
      <c r="B639" t="s">
        <v>36</v>
      </c>
      <c r="C639" t="s">
        <v>152</v>
      </c>
      <c r="D639" t="s">
        <v>146</v>
      </c>
      <c r="E639" t="s">
        <v>221</v>
      </c>
      <c r="F639" t="s">
        <v>199</v>
      </c>
      <c r="G639" t="s">
        <v>199</v>
      </c>
      <c r="H639">
        <v>8</v>
      </c>
      <c r="I639">
        <v>8</v>
      </c>
      <c r="J639">
        <v>0</v>
      </c>
      <c r="K639">
        <v>163</v>
      </c>
      <c r="L639">
        <v>145</v>
      </c>
      <c r="M639">
        <v>5.5172413793103448E-2</v>
      </c>
    </row>
    <row r="640" spans="1:13" x14ac:dyDescent="0.35">
      <c r="A640" t="s">
        <v>209</v>
      </c>
      <c r="B640" t="s">
        <v>36</v>
      </c>
      <c r="C640" t="s">
        <v>153</v>
      </c>
      <c r="D640" t="s">
        <v>146</v>
      </c>
      <c r="E640" t="s">
        <v>221</v>
      </c>
      <c r="F640" t="s">
        <v>199</v>
      </c>
      <c r="G640" t="s">
        <v>199</v>
      </c>
      <c r="H640">
        <v>0</v>
      </c>
      <c r="I640">
        <v>0</v>
      </c>
      <c r="J640">
        <v>0</v>
      </c>
      <c r="K640">
        <v>2</v>
      </c>
      <c r="L640">
        <v>2</v>
      </c>
      <c r="M640">
        <v>0</v>
      </c>
    </row>
    <row r="641" spans="1:13" x14ac:dyDescent="0.35">
      <c r="A641" t="s">
        <v>209</v>
      </c>
      <c r="B641" t="s">
        <v>36</v>
      </c>
      <c r="C641" t="s">
        <v>154</v>
      </c>
      <c r="D641" t="s">
        <v>146</v>
      </c>
      <c r="E641" t="s">
        <v>221</v>
      </c>
      <c r="F641" t="s">
        <v>199</v>
      </c>
      <c r="G641" t="s">
        <v>199</v>
      </c>
      <c r="H641">
        <v>0</v>
      </c>
      <c r="I641">
        <v>0</v>
      </c>
      <c r="J641">
        <v>0</v>
      </c>
      <c r="K641">
        <v>15</v>
      </c>
      <c r="L641">
        <v>13</v>
      </c>
      <c r="M641">
        <v>0</v>
      </c>
    </row>
    <row r="642" spans="1:13" x14ac:dyDescent="0.35">
      <c r="A642" t="s">
        <v>209</v>
      </c>
      <c r="B642" t="s">
        <v>36</v>
      </c>
      <c r="C642" t="s">
        <v>148</v>
      </c>
      <c r="D642" t="s">
        <v>146</v>
      </c>
      <c r="E642" t="s">
        <v>221</v>
      </c>
      <c r="F642" t="s">
        <v>199</v>
      </c>
      <c r="G642" t="s">
        <v>199</v>
      </c>
      <c r="H642">
        <v>11</v>
      </c>
      <c r="I642">
        <v>11</v>
      </c>
      <c r="J642">
        <v>0</v>
      </c>
      <c r="K642">
        <v>180</v>
      </c>
      <c r="L642">
        <v>172</v>
      </c>
      <c r="M642">
        <v>6.3953488372093026E-2</v>
      </c>
    </row>
    <row r="643" spans="1:13" x14ac:dyDescent="0.35">
      <c r="A643" t="s">
        <v>209</v>
      </c>
      <c r="B643" t="s">
        <v>36</v>
      </c>
      <c r="C643" t="s">
        <v>155</v>
      </c>
      <c r="D643" t="s">
        <v>146</v>
      </c>
      <c r="E643" t="s">
        <v>221</v>
      </c>
      <c r="F643" t="s">
        <v>199</v>
      </c>
      <c r="G643" t="s">
        <v>199</v>
      </c>
      <c r="H643">
        <v>0</v>
      </c>
      <c r="I643">
        <v>0</v>
      </c>
      <c r="J643">
        <v>0</v>
      </c>
      <c r="K643">
        <v>5</v>
      </c>
      <c r="L643">
        <v>4</v>
      </c>
      <c r="M643">
        <v>0</v>
      </c>
    </row>
    <row r="644" spans="1:13" x14ac:dyDescent="0.35">
      <c r="A644" t="s">
        <v>209</v>
      </c>
      <c r="B644" t="s">
        <v>36</v>
      </c>
      <c r="C644" t="s">
        <v>156</v>
      </c>
      <c r="D644" t="s">
        <v>146</v>
      </c>
      <c r="E644" t="s">
        <v>221</v>
      </c>
      <c r="F644" t="s">
        <v>199</v>
      </c>
      <c r="G644" t="s">
        <v>199</v>
      </c>
      <c r="H644">
        <v>1</v>
      </c>
      <c r="I644">
        <v>1</v>
      </c>
      <c r="J644">
        <v>0</v>
      </c>
      <c r="K644">
        <v>5</v>
      </c>
      <c r="L644">
        <v>5</v>
      </c>
      <c r="M644">
        <v>0.2</v>
      </c>
    </row>
    <row r="645" spans="1:13" x14ac:dyDescent="0.35">
      <c r="A645" t="s">
        <v>209</v>
      </c>
      <c r="B645" t="s">
        <v>36</v>
      </c>
      <c r="C645" t="s">
        <v>157</v>
      </c>
      <c r="D645" t="s">
        <v>146</v>
      </c>
      <c r="E645" t="s">
        <v>221</v>
      </c>
      <c r="F645" t="s">
        <v>199</v>
      </c>
      <c r="G645" t="s">
        <v>199</v>
      </c>
      <c r="H645">
        <v>0</v>
      </c>
      <c r="I645">
        <v>0</v>
      </c>
      <c r="J645">
        <v>0</v>
      </c>
      <c r="K645">
        <v>23</v>
      </c>
      <c r="L645">
        <v>19</v>
      </c>
      <c r="M645">
        <v>0</v>
      </c>
    </row>
    <row r="646" spans="1:13" x14ac:dyDescent="0.35">
      <c r="A646" t="s">
        <v>209</v>
      </c>
      <c r="B646" t="s">
        <v>36</v>
      </c>
      <c r="C646" t="s">
        <v>158</v>
      </c>
      <c r="D646" t="s">
        <v>146</v>
      </c>
      <c r="E646" t="s">
        <v>221</v>
      </c>
      <c r="F646" t="s">
        <v>199</v>
      </c>
      <c r="G646" t="s">
        <v>199</v>
      </c>
      <c r="H646">
        <v>1</v>
      </c>
      <c r="I646">
        <v>1</v>
      </c>
      <c r="J646">
        <v>0</v>
      </c>
      <c r="K646">
        <v>30</v>
      </c>
      <c r="L646">
        <v>29</v>
      </c>
      <c r="M646">
        <v>3.4482758620689655E-2</v>
      </c>
    </row>
    <row r="647" spans="1:13" x14ac:dyDescent="0.35">
      <c r="A647" t="s">
        <v>209</v>
      </c>
      <c r="B647" t="s">
        <v>36</v>
      </c>
      <c r="C647" t="s">
        <v>150</v>
      </c>
      <c r="D647" t="s">
        <v>146</v>
      </c>
      <c r="E647" t="s">
        <v>223</v>
      </c>
      <c r="F647" t="s">
        <v>199</v>
      </c>
      <c r="G647" t="s">
        <v>199</v>
      </c>
      <c r="H647">
        <v>1</v>
      </c>
      <c r="I647">
        <v>1</v>
      </c>
      <c r="J647">
        <v>0</v>
      </c>
      <c r="K647">
        <v>4</v>
      </c>
      <c r="L647">
        <v>4</v>
      </c>
      <c r="M647">
        <v>0.25</v>
      </c>
    </row>
    <row r="648" spans="1:13" x14ac:dyDescent="0.35">
      <c r="A648" t="s">
        <v>209</v>
      </c>
      <c r="B648" t="s">
        <v>36</v>
      </c>
      <c r="C648" t="s">
        <v>155</v>
      </c>
      <c r="D648" t="s">
        <v>146</v>
      </c>
      <c r="E648" t="s">
        <v>223</v>
      </c>
      <c r="F648" t="s">
        <v>199</v>
      </c>
      <c r="G648" t="s">
        <v>199</v>
      </c>
      <c r="H648">
        <v>1</v>
      </c>
      <c r="I648">
        <v>1</v>
      </c>
      <c r="J648">
        <v>0</v>
      </c>
      <c r="K648">
        <v>8</v>
      </c>
      <c r="L648">
        <v>7</v>
      </c>
      <c r="M648">
        <v>0.14285714285714285</v>
      </c>
    </row>
    <row r="649" spans="1:13" x14ac:dyDescent="0.35">
      <c r="A649" t="s">
        <v>209</v>
      </c>
      <c r="B649" t="s">
        <v>36</v>
      </c>
      <c r="C649" t="s">
        <v>157</v>
      </c>
      <c r="D649" t="s">
        <v>146</v>
      </c>
      <c r="E649" t="s">
        <v>223</v>
      </c>
      <c r="F649" t="s">
        <v>199</v>
      </c>
      <c r="G649" t="s">
        <v>199</v>
      </c>
      <c r="H649">
        <v>1</v>
      </c>
      <c r="I649">
        <v>1</v>
      </c>
      <c r="J649">
        <v>0</v>
      </c>
      <c r="K649">
        <v>16</v>
      </c>
      <c r="L649">
        <v>16</v>
      </c>
      <c r="M649">
        <v>6.25E-2</v>
      </c>
    </row>
    <row r="650" spans="1:13" x14ac:dyDescent="0.35">
      <c r="A650" t="s">
        <v>209</v>
      </c>
      <c r="B650" t="s">
        <v>36</v>
      </c>
      <c r="C650" t="s">
        <v>154</v>
      </c>
      <c r="D650" t="s">
        <v>225</v>
      </c>
      <c r="E650" t="s">
        <v>224</v>
      </c>
      <c r="F650" t="s">
        <v>199</v>
      </c>
      <c r="G650" t="s">
        <v>199</v>
      </c>
      <c r="H650">
        <v>2</v>
      </c>
      <c r="I650">
        <v>2</v>
      </c>
      <c r="J650">
        <v>0</v>
      </c>
      <c r="K650">
        <v>21</v>
      </c>
      <c r="L650">
        <v>20</v>
      </c>
      <c r="M650">
        <v>0.1</v>
      </c>
    </row>
    <row r="652" spans="1:13" ht="15.5" x14ac:dyDescent="0.35">
      <c r="A652" s="184" t="s">
        <v>226</v>
      </c>
      <c r="B652" s="156"/>
      <c r="C652" s="156"/>
      <c r="D652" s="156"/>
      <c r="E652" s="156"/>
      <c r="F652" s="156"/>
      <c r="G652" s="156"/>
    </row>
    <row r="653" spans="1:13" x14ac:dyDescent="0.35">
      <c r="A653" s="85" t="s">
        <v>2</v>
      </c>
      <c r="B653" s="86" t="s">
        <v>227</v>
      </c>
      <c r="C653" s="86" t="s">
        <v>91</v>
      </c>
      <c r="D653" s="86" t="s">
        <v>228</v>
      </c>
      <c r="E653" s="86" t="s">
        <v>72</v>
      </c>
      <c r="F653" s="86" t="s">
        <v>94</v>
      </c>
      <c r="G653" s="86" t="s">
        <v>229</v>
      </c>
      <c r="H653" s="87" t="s">
        <v>230</v>
      </c>
    </row>
    <row r="654" spans="1:13" x14ac:dyDescent="0.35">
      <c r="A654" s="158" t="s">
        <v>14</v>
      </c>
      <c r="B654" s="61">
        <f t="shared" ref="B654:B666" si="0">COUNTIF($C$2:$C$650,"*"&amp;A654&amp;"*")</f>
        <v>64</v>
      </c>
      <c r="C654" s="61">
        <f t="shared" ref="C654:C666" si="1">SUMIF($C$2:$C$650,"*"&amp;A654&amp;"*",$H$2:$H$650)</f>
        <v>16963</v>
      </c>
      <c r="D654" s="62">
        <f t="shared" ref="D654:D667" si="2">IFERROR(C654/B654,0)</f>
        <v>265.046875</v>
      </c>
      <c r="E654" s="61">
        <f t="shared" ref="E654:E666" si="3">SUMIF($C$2:$C$650,"*"&amp;A654&amp;"*",$L$2:$L$650)</f>
        <v>166244</v>
      </c>
      <c r="F654" s="61">
        <f t="shared" ref="F654:F666" si="4">SUMIF($C$2:$C$650,"*"&amp;A654&amp;"*",$K$2:$K$650)</f>
        <v>508816</v>
      </c>
      <c r="G654" s="61">
        <f t="shared" ref="G654:G666" si="5">SUMIF($C$2:$C$650,"*"&amp;A654&amp;"*",$J$2:$J$650)</f>
        <v>18</v>
      </c>
      <c r="H654" s="205">
        <f t="shared" ref="H654:H666" si="6">SUMIF($C$2:$C$650,"*"&amp;A654&amp;"*",$I$2:$I$650)</f>
        <v>15</v>
      </c>
    </row>
    <row r="655" spans="1:13" x14ac:dyDescent="0.35">
      <c r="A655" s="161" t="s">
        <v>25</v>
      </c>
      <c r="B655" s="64">
        <f t="shared" si="0"/>
        <v>60</v>
      </c>
      <c r="C655" s="64">
        <f t="shared" si="1"/>
        <v>14459</v>
      </c>
      <c r="D655" s="65">
        <f t="shared" si="2"/>
        <v>240.98333333333332</v>
      </c>
      <c r="E655" s="64">
        <f t="shared" si="3"/>
        <v>102884</v>
      </c>
      <c r="F655" s="64">
        <f t="shared" si="4"/>
        <v>397473</v>
      </c>
      <c r="G655" s="64">
        <f t="shared" si="5"/>
        <v>89</v>
      </c>
      <c r="H655" s="206">
        <f t="shared" si="6"/>
        <v>98</v>
      </c>
    </row>
    <row r="656" spans="1:13" x14ac:dyDescent="0.35">
      <c r="A656" s="158" t="s">
        <v>26</v>
      </c>
      <c r="B656" s="61">
        <f t="shared" si="0"/>
        <v>56</v>
      </c>
      <c r="C656" s="61">
        <f t="shared" si="1"/>
        <v>53786</v>
      </c>
      <c r="D656" s="62">
        <f t="shared" si="2"/>
        <v>960.46428571428567</v>
      </c>
      <c r="E656" s="61">
        <f t="shared" si="3"/>
        <v>493055</v>
      </c>
      <c r="F656" s="61">
        <f t="shared" si="4"/>
        <v>518263</v>
      </c>
      <c r="G656" s="61">
        <f t="shared" si="5"/>
        <v>64</v>
      </c>
      <c r="H656" s="205">
        <f t="shared" si="6"/>
        <v>47</v>
      </c>
    </row>
    <row r="657" spans="1:8" x14ac:dyDescent="0.35">
      <c r="A657" s="161" t="s">
        <v>231</v>
      </c>
      <c r="B657" s="64">
        <f t="shared" si="0"/>
        <v>58</v>
      </c>
      <c r="C657" s="64">
        <f t="shared" si="1"/>
        <v>14906</v>
      </c>
      <c r="D657" s="65">
        <f t="shared" si="2"/>
        <v>257</v>
      </c>
      <c r="E657" s="64">
        <f t="shared" si="3"/>
        <v>87971</v>
      </c>
      <c r="F657" s="64">
        <f t="shared" si="4"/>
        <v>395555</v>
      </c>
      <c r="G657" s="64">
        <f t="shared" si="5"/>
        <v>92</v>
      </c>
      <c r="H657" s="206">
        <f t="shared" si="6"/>
        <v>39</v>
      </c>
    </row>
    <row r="658" spans="1:8" x14ac:dyDescent="0.35">
      <c r="A658" s="158" t="s">
        <v>43</v>
      </c>
      <c r="B658" s="61">
        <f t="shared" si="0"/>
        <v>8</v>
      </c>
      <c r="C658" s="61">
        <f t="shared" si="1"/>
        <v>60782</v>
      </c>
      <c r="D658" s="62">
        <f t="shared" si="2"/>
        <v>7597.75</v>
      </c>
      <c r="E658" s="61">
        <f t="shared" si="3"/>
        <v>353612</v>
      </c>
      <c r="F658" s="61">
        <f t="shared" si="4"/>
        <v>1484445</v>
      </c>
      <c r="G658" s="61">
        <f t="shared" si="5"/>
        <v>162</v>
      </c>
      <c r="H658" s="205">
        <f t="shared" si="6"/>
        <v>1</v>
      </c>
    </row>
    <row r="659" spans="1:8" x14ac:dyDescent="0.35">
      <c r="A659" s="161" t="s">
        <v>27</v>
      </c>
      <c r="B659" s="64">
        <f t="shared" si="0"/>
        <v>29</v>
      </c>
      <c r="C659" s="64">
        <f t="shared" si="1"/>
        <v>117</v>
      </c>
      <c r="D659" s="65">
        <f t="shared" si="2"/>
        <v>4.0344827586206895</v>
      </c>
      <c r="E659" s="64">
        <f t="shared" si="3"/>
        <v>702</v>
      </c>
      <c r="F659" s="64">
        <f t="shared" si="4"/>
        <v>770</v>
      </c>
      <c r="G659" s="64">
        <f t="shared" si="5"/>
        <v>5</v>
      </c>
      <c r="H659" s="206">
        <f t="shared" si="6"/>
        <v>70</v>
      </c>
    </row>
    <row r="660" spans="1:8" x14ac:dyDescent="0.35">
      <c r="A660" s="158" t="s">
        <v>30</v>
      </c>
      <c r="B660" s="61">
        <f t="shared" si="0"/>
        <v>60</v>
      </c>
      <c r="C660" s="61">
        <f t="shared" si="1"/>
        <v>539</v>
      </c>
      <c r="D660" s="62">
        <f t="shared" si="2"/>
        <v>8.9833333333333325</v>
      </c>
      <c r="E660" s="61">
        <f t="shared" si="3"/>
        <v>12264</v>
      </c>
      <c r="F660" s="61">
        <f t="shared" si="4"/>
        <v>12408</v>
      </c>
      <c r="G660" s="61">
        <f t="shared" si="5"/>
        <v>71</v>
      </c>
      <c r="H660" s="205">
        <f t="shared" si="6"/>
        <v>319</v>
      </c>
    </row>
    <row r="661" spans="1:8" x14ac:dyDescent="0.35">
      <c r="A661" s="161" t="s">
        <v>232</v>
      </c>
      <c r="B661" s="64">
        <f t="shared" si="0"/>
        <v>32</v>
      </c>
      <c r="C661" s="64">
        <f t="shared" si="1"/>
        <v>31038</v>
      </c>
      <c r="D661" s="65">
        <f t="shared" si="2"/>
        <v>969.9375</v>
      </c>
      <c r="E661" s="64">
        <f t="shared" si="3"/>
        <v>262626</v>
      </c>
      <c r="F661" s="64">
        <f t="shared" si="4"/>
        <v>841042</v>
      </c>
      <c r="G661" s="64">
        <f t="shared" si="5"/>
        <v>44</v>
      </c>
      <c r="H661" s="206">
        <f t="shared" si="6"/>
        <v>0</v>
      </c>
    </row>
    <row r="662" spans="1:8" x14ac:dyDescent="0.35">
      <c r="A662" s="158" t="s">
        <v>31</v>
      </c>
      <c r="B662" s="61">
        <f t="shared" si="0"/>
        <v>58</v>
      </c>
      <c r="C662" s="61">
        <f t="shared" si="1"/>
        <v>112605</v>
      </c>
      <c r="D662" s="62">
        <f t="shared" si="2"/>
        <v>1941.4655172413793</v>
      </c>
      <c r="E662" s="61">
        <f t="shared" si="3"/>
        <v>911746</v>
      </c>
      <c r="F662" s="61">
        <f t="shared" si="4"/>
        <v>976258</v>
      </c>
      <c r="G662" s="61">
        <f t="shared" si="5"/>
        <v>20</v>
      </c>
      <c r="H662" s="205">
        <f t="shared" si="6"/>
        <v>18</v>
      </c>
    </row>
    <row r="663" spans="1:8" x14ac:dyDescent="0.35">
      <c r="A663" s="161" t="s">
        <v>32</v>
      </c>
      <c r="B663" s="64">
        <f t="shared" si="0"/>
        <v>54</v>
      </c>
      <c r="C663" s="64">
        <f t="shared" si="1"/>
        <v>459065</v>
      </c>
      <c r="D663" s="65">
        <f t="shared" si="2"/>
        <v>8501.2037037037044</v>
      </c>
      <c r="E663" s="64">
        <f t="shared" si="3"/>
        <v>1550878</v>
      </c>
      <c r="F663" s="64">
        <f t="shared" si="4"/>
        <v>1554292</v>
      </c>
      <c r="G663" s="64">
        <f t="shared" si="5"/>
        <v>22</v>
      </c>
      <c r="H663" s="206">
        <f t="shared" si="6"/>
        <v>10</v>
      </c>
    </row>
    <row r="664" spans="1:8" x14ac:dyDescent="0.35">
      <c r="A664" s="158" t="s">
        <v>33</v>
      </c>
      <c r="B664" s="61">
        <f t="shared" si="0"/>
        <v>58</v>
      </c>
      <c r="C664" s="61">
        <f t="shared" si="1"/>
        <v>5852</v>
      </c>
      <c r="D664" s="62">
        <f t="shared" si="2"/>
        <v>100.89655172413794</v>
      </c>
      <c r="E664" s="61">
        <f t="shared" si="3"/>
        <v>681188</v>
      </c>
      <c r="F664" s="61">
        <f t="shared" si="4"/>
        <v>694370</v>
      </c>
      <c r="G664" s="61">
        <f t="shared" si="5"/>
        <v>132</v>
      </c>
      <c r="H664" s="205">
        <f t="shared" si="6"/>
        <v>341</v>
      </c>
    </row>
    <row r="665" spans="1:8" x14ac:dyDescent="0.35">
      <c r="A665" s="161" t="s">
        <v>34</v>
      </c>
      <c r="B665" s="64">
        <f t="shared" si="0"/>
        <v>54</v>
      </c>
      <c r="C665" s="64">
        <f t="shared" si="1"/>
        <v>288335</v>
      </c>
      <c r="D665" s="65">
        <f t="shared" si="2"/>
        <v>5339.5370370370374</v>
      </c>
      <c r="E665" s="64">
        <f t="shared" si="3"/>
        <v>1462037</v>
      </c>
      <c r="F665" s="64">
        <f t="shared" si="4"/>
        <v>1494137</v>
      </c>
      <c r="G665" s="64">
        <f t="shared" si="5"/>
        <v>40</v>
      </c>
      <c r="H665" s="206">
        <f t="shared" si="6"/>
        <v>12</v>
      </c>
    </row>
    <row r="666" spans="1:8" x14ac:dyDescent="0.35">
      <c r="A666" s="158" t="s">
        <v>35</v>
      </c>
      <c r="B666" s="61">
        <f t="shared" si="0"/>
        <v>58</v>
      </c>
      <c r="C666" s="61">
        <f t="shared" si="1"/>
        <v>10133</v>
      </c>
      <c r="D666" s="62">
        <f t="shared" si="2"/>
        <v>174.70689655172413</v>
      </c>
      <c r="E666" s="61">
        <f t="shared" si="3"/>
        <v>107337</v>
      </c>
      <c r="F666" s="61">
        <f t="shared" si="4"/>
        <v>301671</v>
      </c>
      <c r="G666" s="61">
        <f t="shared" si="5"/>
        <v>24</v>
      </c>
      <c r="H666" s="205">
        <f t="shared" si="6"/>
        <v>44</v>
      </c>
    </row>
    <row r="667" spans="1:8" x14ac:dyDescent="0.35">
      <c r="A667" s="164" t="s">
        <v>49</v>
      </c>
      <c r="B667" s="67">
        <f>SUM(B654:B666)</f>
        <v>649</v>
      </c>
      <c r="C667" s="67">
        <f>SUM(C654:C666)</f>
        <v>1068580</v>
      </c>
      <c r="D667" s="68">
        <f t="shared" si="2"/>
        <v>1646.502311248074</v>
      </c>
      <c r="E667" s="67">
        <f>SUM(E654:E666)</f>
        <v>6192544</v>
      </c>
      <c r="F667" s="67">
        <f>SUM(F654:F666)</f>
        <v>9179500</v>
      </c>
      <c r="G667" s="67">
        <f>SUM(G654:G666)</f>
        <v>783</v>
      </c>
      <c r="H667" s="207">
        <f>SUM(H654:H666)</f>
        <v>1014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B90D-4B30-4276-B3DD-F80E0543B78A}">
  <dimension ref="A1:M667"/>
  <sheetViews>
    <sheetView workbookViewId="0">
      <selection activeCell="D1" sqref="D1"/>
    </sheetView>
  </sheetViews>
  <sheetFormatPr defaultRowHeight="14.5" x14ac:dyDescent="0.35"/>
  <cols>
    <col min="1" max="1" width="17.36328125" bestFit="1" customWidth="1"/>
    <col min="2" max="2" width="12.90625" bestFit="1" customWidth="1"/>
    <col min="3" max="3" width="16.6328125" bestFit="1" customWidth="1"/>
    <col min="4" max="4" width="14.6328125" bestFit="1" customWidth="1"/>
    <col min="5" max="5" width="13.26953125" bestFit="1" customWidth="1"/>
    <col min="6" max="6" width="15.6328125" bestFit="1" customWidth="1"/>
    <col min="7" max="7" width="18.36328125" bestFit="1" customWidth="1"/>
    <col min="8" max="8" width="14.54296875" bestFit="1" customWidth="1"/>
    <col min="9" max="9" width="9.90625" bestFit="1" customWidth="1"/>
    <col min="10" max="10" width="4.08984375" bestFit="1" customWidth="1"/>
    <col min="11" max="11" width="10.90625" bestFit="1" customWidth="1"/>
    <col min="12" max="12" width="6.81640625" bestFit="1" customWidth="1"/>
    <col min="13" max="13" width="16.36328125" bestFit="1" customWidth="1"/>
  </cols>
  <sheetData>
    <row r="1" spans="1:13" x14ac:dyDescent="0.35">
      <c r="A1" s="157" t="s">
        <v>0</v>
      </c>
      <c r="B1" s="157" t="s">
        <v>1</v>
      </c>
      <c r="C1" s="157" t="s">
        <v>140</v>
      </c>
      <c r="D1" s="157" t="s">
        <v>3</v>
      </c>
      <c r="E1" s="157" t="s">
        <v>141</v>
      </c>
      <c r="F1" s="157" t="s">
        <v>4</v>
      </c>
      <c r="G1" s="157" t="s">
        <v>5</v>
      </c>
      <c r="H1" s="157" t="s">
        <v>6</v>
      </c>
      <c r="I1" s="157" t="s">
        <v>7</v>
      </c>
      <c r="J1" s="157" t="s">
        <v>142</v>
      </c>
      <c r="K1" s="157" t="s">
        <v>9</v>
      </c>
      <c r="L1" s="157" t="s">
        <v>10</v>
      </c>
      <c r="M1" s="157" t="s">
        <v>143</v>
      </c>
    </row>
    <row r="2" spans="1:13" x14ac:dyDescent="0.35">
      <c r="A2" t="s">
        <v>144</v>
      </c>
      <c r="B2" t="s">
        <v>13</v>
      </c>
      <c r="C2" t="s">
        <v>145</v>
      </c>
      <c r="D2" t="s">
        <v>146</v>
      </c>
      <c r="E2" t="s">
        <v>147</v>
      </c>
      <c r="F2" t="s">
        <v>28</v>
      </c>
      <c r="G2" t="s">
        <v>29</v>
      </c>
      <c r="H2">
        <v>2</v>
      </c>
      <c r="I2">
        <v>0</v>
      </c>
      <c r="J2">
        <v>1</v>
      </c>
      <c r="K2">
        <v>4</v>
      </c>
      <c r="L2">
        <v>4</v>
      </c>
      <c r="M2" s="48">
        <v>0.5</v>
      </c>
    </row>
    <row r="3" spans="1:13" x14ac:dyDescent="0.35">
      <c r="A3" t="s">
        <v>144</v>
      </c>
      <c r="B3" t="s">
        <v>13</v>
      </c>
      <c r="C3" t="s">
        <v>148</v>
      </c>
      <c r="D3" t="s">
        <v>146</v>
      </c>
      <c r="E3" t="s">
        <v>147</v>
      </c>
      <c r="F3" t="s">
        <v>16</v>
      </c>
      <c r="G3" t="s">
        <v>17</v>
      </c>
      <c r="H3">
        <v>1</v>
      </c>
      <c r="I3">
        <v>0</v>
      </c>
      <c r="J3">
        <v>0</v>
      </c>
      <c r="K3">
        <v>165</v>
      </c>
      <c r="L3">
        <v>164</v>
      </c>
      <c r="M3" s="48">
        <v>6.0975609756097598E-3</v>
      </c>
    </row>
    <row r="4" spans="1:13" x14ac:dyDescent="0.35">
      <c r="A4" t="s">
        <v>144</v>
      </c>
      <c r="B4" t="s">
        <v>13</v>
      </c>
      <c r="C4" t="s">
        <v>149</v>
      </c>
      <c r="D4" t="s">
        <v>146</v>
      </c>
      <c r="E4" t="s">
        <v>147</v>
      </c>
      <c r="F4" t="s">
        <v>16</v>
      </c>
      <c r="G4" t="s">
        <v>17</v>
      </c>
      <c r="H4">
        <v>1</v>
      </c>
      <c r="I4">
        <v>0</v>
      </c>
      <c r="J4">
        <v>1</v>
      </c>
      <c r="K4">
        <v>187</v>
      </c>
      <c r="L4">
        <v>186</v>
      </c>
      <c r="M4" s="48">
        <v>5.3763440860215101E-3</v>
      </c>
    </row>
    <row r="5" spans="1:13" x14ac:dyDescent="0.35">
      <c r="A5" t="s">
        <v>144</v>
      </c>
      <c r="B5" t="s">
        <v>13</v>
      </c>
      <c r="C5" t="s">
        <v>150</v>
      </c>
      <c r="D5" t="s">
        <v>146</v>
      </c>
      <c r="E5" t="s">
        <v>147</v>
      </c>
      <c r="F5" t="s">
        <v>16</v>
      </c>
      <c r="G5" t="s">
        <v>17</v>
      </c>
      <c r="H5">
        <v>2</v>
      </c>
      <c r="I5">
        <v>0</v>
      </c>
      <c r="J5">
        <v>0</v>
      </c>
      <c r="K5">
        <v>66</v>
      </c>
      <c r="L5">
        <v>66</v>
      </c>
      <c r="M5" s="48">
        <v>3.03030303030303E-2</v>
      </c>
    </row>
    <row r="6" spans="1:13" x14ac:dyDescent="0.35">
      <c r="A6" t="s">
        <v>144</v>
      </c>
      <c r="B6" t="s">
        <v>13</v>
      </c>
      <c r="C6" t="s">
        <v>151</v>
      </c>
      <c r="D6" t="s">
        <v>146</v>
      </c>
      <c r="E6" t="s">
        <v>147</v>
      </c>
      <c r="F6" t="s">
        <v>16</v>
      </c>
      <c r="G6" t="s">
        <v>17</v>
      </c>
      <c r="H6">
        <v>0</v>
      </c>
      <c r="I6">
        <v>0</v>
      </c>
      <c r="J6">
        <v>0</v>
      </c>
      <c r="K6">
        <v>28</v>
      </c>
      <c r="L6">
        <v>28</v>
      </c>
      <c r="M6" s="48">
        <v>0</v>
      </c>
    </row>
    <row r="7" spans="1:13" x14ac:dyDescent="0.35">
      <c r="A7" t="s">
        <v>144</v>
      </c>
      <c r="B7" t="s">
        <v>13</v>
      </c>
      <c r="C7" t="s">
        <v>152</v>
      </c>
      <c r="D7" t="s">
        <v>146</v>
      </c>
      <c r="E7" t="s">
        <v>147</v>
      </c>
      <c r="F7" t="s">
        <v>16</v>
      </c>
      <c r="G7" t="s">
        <v>17</v>
      </c>
      <c r="H7">
        <v>3</v>
      </c>
      <c r="I7">
        <v>0</v>
      </c>
      <c r="J7">
        <v>2</v>
      </c>
      <c r="K7">
        <v>26</v>
      </c>
      <c r="L7">
        <v>26</v>
      </c>
      <c r="M7" s="48">
        <v>0.115384615384615</v>
      </c>
    </row>
    <row r="8" spans="1:13" x14ac:dyDescent="0.35">
      <c r="A8" t="s">
        <v>144</v>
      </c>
      <c r="B8" t="s">
        <v>13</v>
      </c>
      <c r="C8" t="s">
        <v>153</v>
      </c>
      <c r="D8" t="s">
        <v>146</v>
      </c>
      <c r="E8" t="s">
        <v>147</v>
      </c>
      <c r="F8" t="s">
        <v>16</v>
      </c>
      <c r="G8" t="s">
        <v>17</v>
      </c>
      <c r="H8">
        <v>2</v>
      </c>
      <c r="I8">
        <v>0</v>
      </c>
      <c r="J8">
        <v>0</v>
      </c>
      <c r="K8">
        <v>18</v>
      </c>
      <c r="L8">
        <v>17</v>
      </c>
      <c r="M8" s="48">
        <v>0.11764705882352899</v>
      </c>
    </row>
    <row r="9" spans="1:13" x14ac:dyDescent="0.35">
      <c r="A9" t="s">
        <v>144</v>
      </c>
      <c r="B9" t="s">
        <v>13</v>
      </c>
      <c r="C9" t="s">
        <v>154</v>
      </c>
      <c r="D9" t="s">
        <v>146</v>
      </c>
      <c r="E9" t="s">
        <v>147</v>
      </c>
      <c r="F9" t="s">
        <v>16</v>
      </c>
      <c r="G9" t="s">
        <v>17</v>
      </c>
      <c r="H9">
        <v>0</v>
      </c>
      <c r="I9">
        <v>0</v>
      </c>
      <c r="J9">
        <v>0</v>
      </c>
      <c r="K9">
        <v>10</v>
      </c>
      <c r="L9">
        <v>10</v>
      </c>
      <c r="M9" s="48">
        <v>0</v>
      </c>
    </row>
    <row r="10" spans="1:13" x14ac:dyDescent="0.35">
      <c r="A10" t="s">
        <v>144</v>
      </c>
      <c r="B10" t="s">
        <v>13</v>
      </c>
      <c r="C10" t="s">
        <v>155</v>
      </c>
      <c r="D10" t="s">
        <v>146</v>
      </c>
      <c r="E10" t="s">
        <v>147</v>
      </c>
      <c r="F10" t="s">
        <v>16</v>
      </c>
      <c r="G10" t="s">
        <v>17</v>
      </c>
      <c r="H10">
        <v>0</v>
      </c>
      <c r="I10">
        <v>0</v>
      </c>
      <c r="J10">
        <v>0</v>
      </c>
      <c r="K10">
        <v>69</v>
      </c>
      <c r="L10">
        <v>69</v>
      </c>
      <c r="M10" s="48">
        <v>0</v>
      </c>
    </row>
    <row r="11" spans="1:13" x14ac:dyDescent="0.35">
      <c r="A11" t="s">
        <v>144</v>
      </c>
      <c r="B11" t="s">
        <v>13</v>
      </c>
      <c r="C11" t="s">
        <v>156</v>
      </c>
      <c r="D11" t="s">
        <v>146</v>
      </c>
      <c r="E11" t="s">
        <v>147</v>
      </c>
      <c r="F11" t="s">
        <v>16</v>
      </c>
      <c r="G11" t="s">
        <v>17</v>
      </c>
      <c r="H11">
        <v>4</v>
      </c>
      <c r="I11">
        <v>0</v>
      </c>
      <c r="J11">
        <v>3</v>
      </c>
      <c r="K11">
        <v>29</v>
      </c>
      <c r="L11">
        <v>29</v>
      </c>
      <c r="M11" s="48">
        <v>0.13793103448275901</v>
      </c>
    </row>
    <row r="12" spans="1:13" x14ac:dyDescent="0.35">
      <c r="A12" t="s">
        <v>144</v>
      </c>
      <c r="B12" t="s">
        <v>13</v>
      </c>
      <c r="C12" t="s">
        <v>157</v>
      </c>
      <c r="D12" t="s">
        <v>146</v>
      </c>
      <c r="E12" t="s">
        <v>147</v>
      </c>
      <c r="F12" t="s">
        <v>16</v>
      </c>
      <c r="G12" t="s">
        <v>17</v>
      </c>
      <c r="H12">
        <v>4</v>
      </c>
      <c r="I12">
        <v>0</v>
      </c>
      <c r="J12">
        <v>1</v>
      </c>
      <c r="K12">
        <v>833</v>
      </c>
      <c r="L12">
        <v>788</v>
      </c>
      <c r="M12" s="48">
        <v>5.0761421319797002E-3</v>
      </c>
    </row>
    <row r="13" spans="1:13" x14ac:dyDescent="0.35">
      <c r="A13" t="s">
        <v>144</v>
      </c>
      <c r="B13" t="s">
        <v>13</v>
      </c>
      <c r="C13" t="s">
        <v>158</v>
      </c>
      <c r="D13" t="s">
        <v>146</v>
      </c>
      <c r="E13" t="s">
        <v>147</v>
      </c>
      <c r="F13" t="s">
        <v>16</v>
      </c>
      <c r="G13" t="s">
        <v>17</v>
      </c>
      <c r="H13">
        <v>1</v>
      </c>
      <c r="I13">
        <v>0</v>
      </c>
      <c r="J13">
        <v>0</v>
      </c>
      <c r="K13">
        <v>630</v>
      </c>
      <c r="L13">
        <v>630</v>
      </c>
      <c r="M13" s="48">
        <v>1.5873015873015899E-3</v>
      </c>
    </row>
    <row r="14" spans="1:13" x14ac:dyDescent="0.35">
      <c r="A14" t="s">
        <v>144</v>
      </c>
      <c r="B14" t="s">
        <v>13</v>
      </c>
      <c r="C14" t="s">
        <v>149</v>
      </c>
      <c r="D14" t="s">
        <v>146</v>
      </c>
      <c r="E14" t="s">
        <v>159</v>
      </c>
      <c r="F14" t="s">
        <v>18</v>
      </c>
      <c r="G14" t="s">
        <v>19</v>
      </c>
      <c r="H14">
        <v>0</v>
      </c>
      <c r="I14">
        <v>0</v>
      </c>
      <c r="J14">
        <v>0</v>
      </c>
      <c r="K14">
        <v>186</v>
      </c>
      <c r="L14">
        <v>184</v>
      </c>
      <c r="M14" s="48">
        <v>0</v>
      </c>
    </row>
    <row r="15" spans="1:13" x14ac:dyDescent="0.35">
      <c r="A15" t="s">
        <v>144</v>
      </c>
      <c r="B15" t="s">
        <v>13</v>
      </c>
      <c r="C15" t="s">
        <v>150</v>
      </c>
      <c r="D15" t="s">
        <v>146</v>
      </c>
      <c r="E15" t="s">
        <v>159</v>
      </c>
      <c r="F15" t="s">
        <v>18</v>
      </c>
      <c r="G15" t="s">
        <v>19</v>
      </c>
      <c r="H15">
        <v>0</v>
      </c>
      <c r="I15">
        <v>0</v>
      </c>
      <c r="J15">
        <v>0</v>
      </c>
      <c r="K15">
        <v>103</v>
      </c>
      <c r="L15">
        <v>101</v>
      </c>
      <c r="M15" s="48">
        <v>0</v>
      </c>
    </row>
    <row r="16" spans="1:13" x14ac:dyDescent="0.35">
      <c r="A16" t="s">
        <v>144</v>
      </c>
      <c r="B16" t="s">
        <v>13</v>
      </c>
      <c r="C16" t="s">
        <v>151</v>
      </c>
      <c r="D16" t="s">
        <v>146</v>
      </c>
      <c r="E16" t="s">
        <v>159</v>
      </c>
      <c r="F16" t="s">
        <v>18</v>
      </c>
      <c r="G16" t="s">
        <v>19</v>
      </c>
      <c r="H16">
        <v>4</v>
      </c>
      <c r="I16">
        <v>0</v>
      </c>
      <c r="J16">
        <v>1</v>
      </c>
      <c r="K16">
        <v>54</v>
      </c>
      <c r="L16">
        <v>52</v>
      </c>
      <c r="M16" s="48">
        <v>7.69230769230769E-2</v>
      </c>
    </row>
    <row r="17" spans="1:13" x14ac:dyDescent="0.35">
      <c r="A17" t="s">
        <v>144</v>
      </c>
      <c r="B17" t="s">
        <v>13</v>
      </c>
      <c r="C17" t="s">
        <v>152</v>
      </c>
      <c r="D17" t="s">
        <v>146</v>
      </c>
      <c r="E17" t="s">
        <v>159</v>
      </c>
      <c r="F17" t="s">
        <v>18</v>
      </c>
      <c r="G17" t="s">
        <v>19</v>
      </c>
      <c r="H17">
        <v>7</v>
      </c>
      <c r="I17">
        <v>0</v>
      </c>
      <c r="J17">
        <v>4</v>
      </c>
      <c r="K17">
        <v>33</v>
      </c>
      <c r="L17">
        <v>31</v>
      </c>
      <c r="M17" s="48">
        <v>0.225806451612903</v>
      </c>
    </row>
    <row r="18" spans="1:13" x14ac:dyDescent="0.35">
      <c r="A18" t="s">
        <v>144</v>
      </c>
      <c r="B18" t="s">
        <v>13</v>
      </c>
      <c r="C18" t="s">
        <v>153</v>
      </c>
      <c r="D18" t="s">
        <v>146</v>
      </c>
      <c r="E18" t="s">
        <v>159</v>
      </c>
      <c r="F18" t="s">
        <v>18</v>
      </c>
      <c r="G18" t="s">
        <v>19</v>
      </c>
      <c r="H18">
        <v>0</v>
      </c>
      <c r="I18">
        <v>0</v>
      </c>
      <c r="J18">
        <v>0</v>
      </c>
      <c r="K18">
        <v>32</v>
      </c>
      <c r="L18">
        <v>29</v>
      </c>
      <c r="M18" s="48">
        <v>0</v>
      </c>
    </row>
    <row r="19" spans="1:13" x14ac:dyDescent="0.35">
      <c r="A19" t="s">
        <v>144</v>
      </c>
      <c r="B19" t="s">
        <v>13</v>
      </c>
      <c r="C19" t="s">
        <v>154</v>
      </c>
      <c r="D19" t="s">
        <v>146</v>
      </c>
      <c r="E19" t="s">
        <v>159</v>
      </c>
      <c r="F19" t="s">
        <v>18</v>
      </c>
      <c r="G19" t="s">
        <v>19</v>
      </c>
      <c r="H19">
        <v>0</v>
      </c>
      <c r="I19">
        <v>0</v>
      </c>
      <c r="J19">
        <v>0</v>
      </c>
      <c r="K19">
        <v>9</v>
      </c>
      <c r="L19">
        <v>8</v>
      </c>
      <c r="M19" s="48">
        <v>0</v>
      </c>
    </row>
    <row r="20" spans="1:13" x14ac:dyDescent="0.35">
      <c r="A20" t="s">
        <v>144</v>
      </c>
      <c r="B20" t="s">
        <v>13</v>
      </c>
      <c r="C20" t="s">
        <v>148</v>
      </c>
      <c r="D20" t="s">
        <v>146</v>
      </c>
      <c r="E20" t="s">
        <v>159</v>
      </c>
      <c r="F20" t="s">
        <v>18</v>
      </c>
      <c r="G20" t="s">
        <v>19</v>
      </c>
      <c r="H20">
        <v>2</v>
      </c>
      <c r="I20">
        <v>0</v>
      </c>
      <c r="J20">
        <v>0</v>
      </c>
      <c r="K20">
        <v>224</v>
      </c>
      <c r="L20">
        <v>221</v>
      </c>
      <c r="M20" s="48">
        <v>9.0497737556561094E-3</v>
      </c>
    </row>
    <row r="21" spans="1:13" x14ac:dyDescent="0.35">
      <c r="A21" t="s">
        <v>144</v>
      </c>
      <c r="B21" t="s">
        <v>13</v>
      </c>
      <c r="C21" t="s">
        <v>155</v>
      </c>
      <c r="D21" t="s">
        <v>146</v>
      </c>
      <c r="E21" t="s">
        <v>159</v>
      </c>
      <c r="F21" t="s">
        <v>18</v>
      </c>
      <c r="G21" t="s">
        <v>19</v>
      </c>
      <c r="H21">
        <v>0</v>
      </c>
      <c r="I21">
        <v>0</v>
      </c>
      <c r="J21">
        <v>0</v>
      </c>
      <c r="K21">
        <v>103</v>
      </c>
      <c r="L21">
        <v>103</v>
      </c>
      <c r="M21" s="48">
        <v>0</v>
      </c>
    </row>
    <row r="22" spans="1:13" x14ac:dyDescent="0.35">
      <c r="A22" t="s">
        <v>144</v>
      </c>
      <c r="B22" t="s">
        <v>13</v>
      </c>
      <c r="C22" t="s">
        <v>156</v>
      </c>
      <c r="D22" t="s">
        <v>146</v>
      </c>
      <c r="E22" t="s">
        <v>159</v>
      </c>
      <c r="F22" t="s">
        <v>18</v>
      </c>
      <c r="G22" t="s">
        <v>19</v>
      </c>
      <c r="H22">
        <v>4</v>
      </c>
      <c r="I22">
        <v>0</v>
      </c>
      <c r="J22">
        <v>3</v>
      </c>
      <c r="K22">
        <v>32</v>
      </c>
      <c r="L22">
        <v>32</v>
      </c>
      <c r="M22" s="48">
        <v>0.125</v>
      </c>
    </row>
    <row r="23" spans="1:13" x14ac:dyDescent="0.35">
      <c r="A23" t="s">
        <v>144</v>
      </c>
      <c r="B23" t="s">
        <v>13</v>
      </c>
      <c r="C23" t="s">
        <v>157</v>
      </c>
      <c r="D23" t="s">
        <v>146</v>
      </c>
      <c r="E23" t="s">
        <v>159</v>
      </c>
      <c r="F23" t="s">
        <v>18</v>
      </c>
      <c r="G23" t="s">
        <v>19</v>
      </c>
      <c r="H23">
        <v>7</v>
      </c>
      <c r="I23">
        <v>0</v>
      </c>
      <c r="J23">
        <v>2</v>
      </c>
      <c r="K23">
        <v>929</v>
      </c>
      <c r="L23">
        <v>866</v>
      </c>
      <c r="M23" s="48">
        <v>8.0831408775981495E-3</v>
      </c>
    </row>
    <row r="24" spans="1:13" x14ac:dyDescent="0.35">
      <c r="A24" t="s">
        <v>144</v>
      </c>
      <c r="B24" t="s">
        <v>13</v>
      </c>
      <c r="C24" t="s">
        <v>158</v>
      </c>
      <c r="D24" t="s">
        <v>146</v>
      </c>
      <c r="E24" t="s">
        <v>159</v>
      </c>
      <c r="F24" t="s">
        <v>18</v>
      </c>
      <c r="G24" t="s">
        <v>19</v>
      </c>
      <c r="H24">
        <v>9</v>
      </c>
      <c r="I24">
        <v>0</v>
      </c>
      <c r="J24">
        <v>3</v>
      </c>
      <c r="K24">
        <v>949</v>
      </c>
      <c r="L24">
        <v>934</v>
      </c>
      <c r="M24" s="48">
        <v>9.6359743040685206E-3</v>
      </c>
    </row>
    <row r="25" spans="1:13" x14ac:dyDescent="0.35">
      <c r="A25" t="s">
        <v>144</v>
      </c>
      <c r="B25" t="s">
        <v>13</v>
      </c>
      <c r="C25" t="s">
        <v>154</v>
      </c>
      <c r="D25" t="s">
        <v>146</v>
      </c>
      <c r="E25" t="s">
        <v>160</v>
      </c>
      <c r="F25" t="s">
        <v>16</v>
      </c>
      <c r="G25" t="s">
        <v>20</v>
      </c>
      <c r="H25">
        <v>2</v>
      </c>
      <c r="I25">
        <v>0</v>
      </c>
      <c r="J25">
        <v>1</v>
      </c>
      <c r="K25">
        <v>22</v>
      </c>
      <c r="L25">
        <v>21</v>
      </c>
      <c r="M25" s="48">
        <v>9.5238095238095205E-2</v>
      </c>
    </row>
    <row r="26" spans="1:13" x14ac:dyDescent="0.35">
      <c r="A26" t="s">
        <v>144</v>
      </c>
      <c r="B26" t="s">
        <v>13</v>
      </c>
      <c r="C26" t="s">
        <v>149</v>
      </c>
      <c r="D26" t="s">
        <v>146</v>
      </c>
      <c r="E26" t="s">
        <v>160</v>
      </c>
      <c r="F26" t="s">
        <v>16</v>
      </c>
      <c r="G26" t="s">
        <v>20</v>
      </c>
      <c r="H26">
        <v>0</v>
      </c>
      <c r="I26">
        <v>0</v>
      </c>
      <c r="J26">
        <v>0</v>
      </c>
      <c r="K26">
        <v>204</v>
      </c>
      <c r="L26">
        <v>201</v>
      </c>
      <c r="M26" s="48">
        <v>0</v>
      </c>
    </row>
    <row r="27" spans="1:13" x14ac:dyDescent="0.35">
      <c r="A27" t="s">
        <v>144</v>
      </c>
      <c r="B27" t="s">
        <v>13</v>
      </c>
      <c r="C27" t="s">
        <v>152</v>
      </c>
      <c r="D27" t="s">
        <v>146</v>
      </c>
      <c r="E27" t="s">
        <v>160</v>
      </c>
      <c r="F27" t="s">
        <v>16</v>
      </c>
      <c r="G27" t="s">
        <v>20</v>
      </c>
      <c r="H27">
        <v>5</v>
      </c>
      <c r="I27">
        <v>0</v>
      </c>
      <c r="J27">
        <v>4</v>
      </c>
      <c r="K27">
        <v>27</v>
      </c>
      <c r="L27">
        <v>24</v>
      </c>
      <c r="M27" s="48">
        <v>0.20833333333333301</v>
      </c>
    </row>
    <row r="28" spans="1:13" x14ac:dyDescent="0.35">
      <c r="A28" t="s">
        <v>144</v>
      </c>
      <c r="B28" t="s">
        <v>13</v>
      </c>
      <c r="C28" t="s">
        <v>156</v>
      </c>
      <c r="D28" t="s">
        <v>146</v>
      </c>
      <c r="E28" t="s">
        <v>160</v>
      </c>
      <c r="F28" t="s">
        <v>16</v>
      </c>
      <c r="G28" t="s">
        <v>20</v>
      </c>
      <c r="H28">
        <v>1</v>
      </c>
      <c r="I28">
        <v>0</v>
      </c>
      <c r="J28">
        <v>1</v>
      </c>
      <c r="K28">
        <v>26</v>
      </c>
      <c r="L28">
        <v>25</v>
      </c>
      <c r="M28" s="48">
        <v>0.04</v>
      </c>
    </row>
    <row r="29" spans="1:13" x14ac:dyDescent="0.35">
      <c r="A29" t="s">
        <v>144</v>
      </c>
      <c r="B29" t="s">
        <v>13</v>
      </c>
      <c r="C29" t="s">
        <v>150</v>
      </c>
      <c r="D29" t="s">
        <v>146</v>
      </c>
      <c r="E29" t="s">
        <v>160</v>
      </c>
      <c r="F29" t="s">
        <v>16</v>
      </c>
      <c r="G29" t="s">
        <v>20</v>
      </c>
      <c r="H29">
        <v>0</v>
      </c>
      <c r="I29">
        <v>0</v>
      </c>
      <c r="J29">
        <v>0</v>
      </c>
      <c r="K29">
        <v>81</v>
      </c>
      <c r="L29">
        <v>80</v>
      </c>
      <c r="M29" s="48">
        <v>0</v>
      </c>
    </row>
    <row r="30" spans="1:13" x14ac:dyDescent="0.35">
      <c r="A30" t="s">
        <v>144</v>
      </c>
      <c r="B30" t="s">
        <v>13</v>
      </c>
      <c r="C30" t="s">
        <v>148</v>
      </c>
      <c r="D30" t="s">
        <v>146</v>
      </c>
      <c r="E30" t="s">
        <v>160</v>
      </c>
      <c r="F30" t="s">
        <v>16</v>
      </c>
      <c r="G30" t="s">
        <v>20</v>
      </c>
      <c r="H30">
        <v>2</v>
      </c>
      <c r="I30">
        <v>0</v>
      </c>
      <c r="J30">
        <v>2</v>
      </c>
      <c r="K30">
        <v>307</v>
      </c>
      <c r="L30">
        <v>302</v>
      </c>
      <c r="M30" s="48">
        <v>6.6225165562913899E-3</v>
      </c>
    </row>
    <row r="31" spans="1:13" x14ac:dyDescent="0.35">
      <c r="A31" t="s">
        <v>144</v>
      </c>
      <c r="B31" t="s">
        <v>13</v>
      </c>
      <c r="C31" t="s">
        <v>158</v>
      </c>
      <c r="D31" t="s">
        <v>146</v>
      </c>
      <c r="E31" t="s">
        <v>160</v>
      </c>
      <c r="F31" t="s">
        <v>16</v>
      </c>
      <c r="G31" t="s">
        <v>20</v>
      </c>
      <c r="H31">
        <v>3</v>
      </c>
      <c r="I31">
        <v>0</v>
      </c>
      <c r="J31">
        <v>1</v>
      </c>
      <c r="K31">
        <v>740</v>
      </c>
      <c r="L31">
        <v>740</v>
      </c>
      <c r="M31" s="48">
        <v>4.0540540540540499E-3</v>
      </c>
    </row>
    <row r="32" spans="1:13" x14ac:dyDescent="0.35">
      <c r="A32" t="s">
        <v>144</v>
      </c>
      <c r="B32" t="s">
        <v>13</v>
      </c>
      <c r="C32" t="s">
        <v>155</v>
      </c>
      <c r="D32" t="s">
        <v>146</v>
      </c>
      <c r="E32" t="s">
        <v>160</v>
      </c>
      <c r="F32" t="s">
        <v>16</v>
      </c>
      <c r="G32" t="s">
        <v>20</v>
      </c>
      <c r="H32">
        <v>0</v>
      </c>
      <c r="I32">
        <v>0</v>
      </c>
      <c r="J32">
        <v>0</v>
      </c>
      <c r="K32">
        <v>77</v>
      </c>
      <c r="L32">
        <v>77</v>
      </c>
      <c r="M32" s="48">
        <v>0</v>
      </c>
    </row>
    <row r="33" spans="1:13" x14ac:dyDescent="0.35">
      <c r="A33" t="s">
        <v>144</v>
      </c>
      <c r="B33" t="s">
        <v>13</v>
      </c>
      <c r="C33" t="s">
        <v>157</v>
      </c>
      <c r="D33" t="s">
        <v>146</v>
      </c>
      <c r="E33" t="s">
        <v>160</v>
      </c>
      <c r="F33" t="s">
        <v>16</v>
      </c>
      <c r="G33" t="s">
        <v>20</v>
      </c>
      <c r="H33">
        <v>11</v>
      </c>
      <c r="I33">
        <v>0</v>
      </c>
      <c r="J33">
        <v>2</v>
      </c>
      <c r="K33">
        <v>946</v>
      </c>
      <c r="L33">
        <v>900</v>
      </c>
      <c r="M33" s="48">
        <v>1.22222222222222E-2</v>
      </c>
    </row>
    <row r="34" spans="1:13" x14ac:dyDescent="0.35">
      <c r="A34" t="s">
        <v>144</v>
      </c>
      <c r="B34" t="s">
        <v>13</v>
      </c>
      <c r="C34" t="s">
        <v>151</v>
      </c>
      <c r="D34" t="s">
        <v>146</v>
      </c>
      <c r="E34" t="s">
        <v>160</v>
      </c>
      <c r="F34" t="s">
        <v>16</v>
      </c>
      <c r="G34" t="s">
        <v>20</v>
      </c>
      <c r="H34">
        <v>1</v>
      </c>
      <c r="I34">
        <v>0</v>
      </c>
      <c r="J34">
        <v>1</v>
      </c>
      <c r="K34">
        <v>33</v>
      </c>
      <c r="L34">
        <v>33</v>
      </c>
      <c r="M34" s="48">
        <v>3.03030303030303E-2</v>
      </c>
    </row>
    <row r="35" spans="1:13" x14ac:dyDescent="0.35">
      <c r="A35" t="s">
        <v>144</v>
      </c>
      <c r="B35" t="s">
        <v>13</v>
      </c>
      <c r="C35" t="s">
        <v>153</v>
      </c>
      <c r="D35" t="s">
        <v>146</v>
      </c>
      <c r="E35" t="s">
        <v>160</v>
      </c>
      <c r="F35" t="s">
        <v>16</v>
      </c>
      <c r="G35" t="s">
        <v>20</v>
      </c>
      <c r="H35">
        <v>0</v>
      </c>
      <c r="I35">
        <v>0</v>
      </c>
      <c r="J35">
        <v>0</v>
      </c>
      <c r="K35">
        <v>31</v>
      </c>
      <c r="L35">
        <v>28</v>
      </c>
      <c r="M35" s="48">
        <v>0</v>
      </c>
    </row>
    <row r="36" spans="1:13" x14ac:dyDescent="0.35">
      <c r="A36" t="s">
        <v>144</v>
      </c>
      <c r="B36" t="s">
        <v>13</v>
      </c>
      <c r="C36" t="s">
        <v>145</v>
      </c>
      <c r="D36" t="s">
        <v>146</v>
      </c>
      <c r="E36" t="s">
        <v>161</v>
      </c>
      <c r="F36" t="s">
        <v>28</v>
      </c>
      <c r="G36" t="s">
        <v>29</v>
      </c>
      <c r="H36">
        <v>3</v>
      </c>
      <c r="I36">
        <v>0</v>
      </c>
      <c r="J36">
        <v>0</v>
      </c>
      <c r="K36">
        <v>31</v>
      </c>
      <c r="L36">
        <v>27</v>
      </c>
      <c r="M36" s="48">
        <v>0.11111111111111099</v>
      </c>
    </row>
    <row r="37" spans="1:13" x14ac:dyDescent="0.35">
      <c r="A37" t="s">
        <v>144</v>
      </c>
      <c r="B37" t="s">
        <v>13</v>
      </c>
      <c r="C37" t="s">
        <v>149</v>
      </c>
      <c r="D37" t="s">
        <v>162</v>
      </c>
      <c r="E37" t="s">
        <v>163</v>
      </c>
      <c r="F37" t="s">
        <v>21</v>
      </c>
      <c r="G37" t="s">
        <v>164</v>
      </c>
      <c r="H37">
        <v>2</v>
      </c>
      <c r="I37">
        <v>0</v>
      </c>
      <c r="J37">
        <v>0</v>
      </c>
      <c r="K37">
        <v>619</v>
      </c>
      <c r="L37">
        <v>573</v>
      </c>
      <c r="M37" s="48">
        <v>3.4904013961605598E-3</v>
      </c>
    </row>
    <row r="38" spans="1:13" x14ac:dyDescent="0.35">
      <c r="A38" t="s">
        <v>144</v>
      </c>
      <c r="B38" t="s">
        <v>13</v>
      </c>
      <c r="C38" t="s">
        <v>157</v>
      </c>
      <c r="D38" t="s">
        <v>162</v>
      </c>
      <c r="E38" t="s">
        <v>163</v>
      </c>
      <c r="F38" t="s">
        <v>21</v>
      </c>
      <c r="G38" t="s">
        <v>164</v>
      </c>
      <c r="H38">
        <v>4</v>
      </c>
      <c r="I38">
        <v>0</v>
      </c>
      <c r="J38">
        <v>2</v>
      </c>
      <c r="K38">
        <v>1259</v>
      </c>
      <c r="L38">
        <v>1147</v>
      </c>
      <c r="M38" s="48">
        <v>3.4873583260680002E-3</v>
      </c>
    </row>
    <row r="39" spans="1:13" x14ac:dyDescent="0.35">
      <c r="A39" t="s">
        <v>144</v>
      </c>
      <c r="B39" t="s">
        <v>13</v>
      </c>
      <c r="C39" t="s">
        <v>152</v>
      </c>
      <c r="D39" t="s">
        <v>146</v>
      </c>
      <c r="E39" t="s">
        <v>165</v>
      </c>
      <c r="F39" t="s">
        <v>18</v>
      </c>
      <c r="G39" t="s">
        <v>23</v>
      </c>
      <c r="H39">
        <v>3</v>
      </c>
      <c r="I39">
        <v>0</v>
      </c>
      <c r="J39">
        <v>3</v>
      </c>
      <c r="K39">
        <v>26</v>
      </c>
      <c r="L39">
        <v>24</v>
      </c>
      <c r="M39" s="48">
        <v>0.125</v>
      </c>
    </row>
    <row r="40" spans="1:13" x14ac:dyDescent="0.35">
      <c r="A40" t="s">
        <v>144</v>
      </c>
      <c r="B40" t="s">
        <v>13</v>
      </c>
      <c r="C40" t="s">
        <v>149</v>
      </c>
      <c r="D40" t="s">
        <v>146</v>
      </c>
      <c r="E40" t="s">
        <v>166</v>
      </c>
      <c r="F40" t="s">
        <v>18</v>
      </c>
      <c r="G40" t="s">
        <v>23</v>
      </c>
      <c r="H40">
        <v>2</v>
      </c>
      <c r="I40">
        <v>0</v>
      </c>
      <c r="J40">
        <v>0</v>
      </c>
      <c r="K40">
        <v>218</v>
      </c>
      <c r="L40">
        <v>216</v>
      </c>
      <c r="M40" s="48">
        <v>9.2592592592592605E-3</v>
      </c>
    </row>
    <row r="41" spans="1:13" x14ac:dyDescent="0.35">
      <c r="A41" t="s">
        <v>144</v>
      </c>
      <c r="B41" t="s">
        <v>13</v>
      </c>
      <c r="C41" t="s">
        <v>150</v>
      </c>
      <c r="D41" t="s">
        <v>146</v>
      </c>
      <c r="E41" t="s">
        <v>166</v>
      </c>
      <c r="F41" t="s">
        <v>18</v>
      </c>
      <c r="G41" t="s">
        <v>23</v>
      </c>
      <c r="H41">
        <v>0</v>
      </c>
      <c r="I41">
        <v>0</v>
      </c>
      <c r="J41">
        <v>0</v>
      </c>
      <c r="K41">
        <v>85</v>
      </c>
      <c r="L41">
        <v>83</v>
      </c>
      <c r="M41" s="48">
        <v>0</v>
      </c>
    </row>
    <row r="42" spans="1:13" x14ac:dyDescent="0.35">
      <c r="A42" t="s">
        <v>144</v>
      </c>
      <c r="B42" t="s">
        <v>13</v>
      </c>
      <c r="C42" t="s">
        <v>151</v>
      </c>
      <c r="D42" t="s">
        <v>146</v>
      </c>
      <c r="E42" t="s">
        <v>166</v>
      </c>
      <c r="F42" t="s">
        <v>18</v>
      </c>
      <c r="G42" t="s">
        <v>23</v>
      </c>
      <c r="H42">
        <v>0</v>
      </c>
      <c r="I42">
        <v>0</v>
      </c>
      <c r="J42">
        <v>0</v>
      </c>
      <c r="K42">
        <v>33</v>
      </c>
      <c r="L42">
        <v>32</v>
      </c>
      <c r="M42" s="48">
        <v>0</v>
      </c>
    </row>
    <row r="43" spans="1:13" x14ac:dyDescent="0.35">
      <c r="A43" t="s">
        <v>144</v>
      </c>
      <c r="B43" t="s">
        <v>13</v>
      </c>
      <c r="C43" t="s">
        <v>153</v>
      </c>
      <c r="D43" t="s">
        <v>146</v>
      </c>
      <c r="E43" t="s">
        <v>166</v>
      </c>
      <c r="F43" t="s">
        <v>18</v>
      </c>
      <c r="G43" t="s">
        <v>23</v>
      </c>
      <c r="H43">
        <v>3</v>
      </c>
      <c r="I43">
        <v>0</v>
      </c>
      <c r="J43">
        <v>1</v>
      </c>
      <c r="K43">
        <v>30</v>
      </c>
      <c r="L43">
        <v>29</v>
      </c>
      <c r="M43" s="48">
        <v>0.10344827586206901</v>
      </c>
    </row>
    <row r="44" spans="1:13" x14ac:dyDescent="0.35">
      <c r="A44" t="s">
        <v>144</v>
      </c>
      <c r="B44" t="s">
        <v>13</v>
      </c>
      <c r="C44" t="s">
        <v>154</v>
      </c>
      <c r="D44" t="s">
        <v>146</v>
      </c>
      <c r="E44" t="s">
        <v>166</v>
      </c>
      <c r="F44" t="s">
        <v>18</v>
      </c>
      <c r="G44" t="s">
        <v>23</v>
      </c>
      <c r="H44">
        <v>0</v>
      </c>
      <c r="I44">
        <v>0</v>
      </c>
      <c r="J44">
        <v>0</v>
      </c>
      <c r="K44">
        <v>19</v>
      </c>
      <c r="L44">
        <v>18</v>
      </c>
      <c r="M44" s="48">
        <v>0</v>
      </c>
    </row>
    <row r="45" spans="1:13" x14ac:dyDescent="0.35">
      <c r="A45" t="s">
        <v>144</v>
      </c>
      <c r="B45" t="s">
        <v>13</v>
      </c>
      <c r="C45" t="s">
        <v>148</v>
      </c>
      <c r="D45" t="s">
        <v>146</v>
      </c>
      <c r="E45" t="s">
        <v>166</v>
      </c>
      <c r="F45" t="s">
        <v>18</v>
      </c>
      <c r="G45" t="s">
        <v>23</v>
      </c>
      <c r="H45">
        <v>8</v>
      </c>
      <c r="I45">
        <v>2</v>
      </c>
      <c r="J45">
        <v>3</v>
      </c>
      <c r="K45">
        <v>202</v>
      </c>
      <c r="L45">
        <v>198</v>
      </c>
      <c r="M45" s="48">
        <v>4.0404040404040401E-2</v>
      </c>
    </row>
    <row r="46" spans="1:13" x14ac:dyDescent="0.35">
      <c r="A46" t="s">
        <v>144</v>
      </c>
      <c r="B46" t="s">
        <v>13</v>
      </c>
      <c r="C46" t="s">
        <v>155</v>
      </c>
      <c r="D46" t="s">
        <v>146</v>
      </c>
      <c r="E46" t="s">
        <v>166</v>
      </c>
      <c r="F46" t="s">
        <v>18</v>
      </c>
      <c r="G46" t="s">
        <v>23</v>
      </c>
      <c r="H46">
        <v>0</v>
      </c>
      <c r="I46">
        <v>0</v>
      </c>
      <c r="J46">
        <v>0</v>
      </c>
      <c r="K46">
        <v>114</v>
      </c>
      <c r="L46">
        <v>113</v>
      </c>
      <c r="M46" s="48">
        <v>0</v>
      </c>
    </row>
    <row r="47" spans="1:13" x14ac:dyDescent="0.35">
      <c r="A47" t="s">
        <v>144</v>
      </c>
      <c r="B47" t="s">
        <v>13</v>
      </c>
      <c r="C47" t="s">
        <v>156</v>
      </c>
      <c r="D47" t="s">
        <v>146</v>
      </c>
      <c r="E47" t="s">
        <v>166</v>
      </c>
      <c r="F47" t="s">
        <v>18</v>
      </c>
      <c r="G47" t="s">
        <v>23</v>
      </c>
      <c r="H47">
        <v>2</v>
      </c>
      <c r="I47">
        <v>0</v>
      </c>
      <c r="J47">
        <v>0</v>
      </c>
      <c r="K47">
        <v>31</v>
      </c>
      <c r="L47">
        <v>29</v>
      </c>
      <c r="M47" s="48">
        <v>6.8965517241379296E-2</v>
      </c>
    </row>
    <row r="48" spans="1:13" x14ac:dyDescent="0.35">
      <c r="A48" t="s">
        <v>144</v>
      </c>
      <c r="B48" t="s">
        <v>13</v>
      </c>
      <c r="C48" t="s">
        <v>157</v>
      </c>
      <c r="D48" t="s">
        <v>146</v>
      </c>
      <c r="E48" t="s">
        <v>166</v>
      </c>
      <c r="F48" t="s">
        <v>18</v>
      </c>
      <c r="G48" t="s">
        <v>23</v>
      </c>
      <c r="H48">
        <v>6</v>
      </c>
      <c r="I48">
        <v>0</v>
      </c>
      <c r="J48">
        <v>0</v>
      </c>
      <c r="K48">
        <v>786</v>
      </c>
      <c r="L48">
        <v>734</v>
      </c>
      <c r="M48" s="48">
        <v>8.1743869209809292E-3</v>
      </c>
    </row>
    <row r="49" spans="1:13" x14ac:dyDescent="0.35">
      <c r="A49" t="s">
        <v>144</v>
      </c>
      <c r="B49" t="s">
        <v>13</v>
      </c>
      <c r="C49" t="s">
        <v>158</v>
      </c>
      <c r="D49" t="s">
        <v>146</v>
      </c>
      <c r="E49" t="s">
        <v>166</v>
      </c>
      <c r="F49" t="s">
        <v>18</v>
      </c>
      <c r="G49" t="s">
        <v>23</v>
      </c>
      <c r="H49">
        <v>6</v>
      </c>
      <c r="I49">
        <v>1</v>
      </c>
      <c r="J49">
        <v>1</v>
      </c>
      <c r="K49">
        <v>766</v>
      </c>
      <c r="L49">
        <v>749</v>
      </c>
      <c r="M49" s="48">
        <v>8.0106809078771702E-3</v>
      </c>
    </row>
    <row r="50" spans="1:13" x14ac:dyDescent="0.35">
      <c r="A50" t="s">
        <v>144</v>
      </c>
      <c r="B50" t="s">
        <v>13</v>
      </c>
      <c r="C50" t="s">
        <v>148</v>
      </c>
      <c r="D50" t="s">
        <v>146</v>
      </c>
      <c r="E50" t="s">
        <v>167</v>
      </c>
      <c r="F50" t="s">
        <v>21</v>
      </c>
      <c r="G50" t="s">
        <v>164</v>
      </c>
      <c r="H50">
        <v>15</v>
      </c>
      <c r="I50">
        <v>1</v>
      </c>
      <c r="J50">
        <v>2</v>
      </c>
      <c r="K50">
        <v>256</v>
      </c>
      <c r="L50">
        <v>248</v>
      </c>
      <c r="M50" s="48">
        <v>6.0483870967741903E-2</v>
      </c>
    </row>
    <row r="51" spans="1:13" x14ac:dyDescent="0.35">
      <c r="A51" t="s">
        <v>144</v>
      </c>
      <c r="B51" t="s">
        <v>13</v>
      </c>
      <c r="C51" t="s">
        <v>149</v>
      </c>
      <c r="D51" t="s">
        <v>146</v>
      </c>
      <c r="E51" t="s">
        <v>168</v>
      </c>
      <c r="F51" t="s">
        <v>16</v>
      </c>
      <c r="G51" t="s">
        <v>17</v>
      </c>
      <c r="H51">
        <v>0</v>
      </c>
      <c r="I51">
        <v>0</v>
      </c>
      <c r="J51">
        <v>0</v>
      </c>
      <c r="K51">
        <v>208</v>
      </c>
      <c r="L51">
        <v>205</v>
      </c>
      <c r="M51" s="48">
        <v>0</v>
      </c>
    </row>
    <row r="52" spans="1:13" x14ac:dyDescent="0.35">
      <c r="A52" t="s">
        <v>144</v>
      </c>
      <c r="B52" t="s">
        <v>13</v>
      </c>
      <c r="C52" t="s">
        <v>150</v>
      </c>
      <c r="D52" t="s">
        <v>146</v>
      </c>
      <c r="E52" t="s">
        <v>168</v>
      </c>
      <c r="F52" t="s">
        <v>16</v>
      </c>
      <c r="G52" t="s">
        <v>17</v>
      </c>
      <c r="H52">
        <v>1</v>
      </c>
      <c r="I52">
        <v>0</v>
      </c>
      <c r="J52">
        <v>0</v>
      </c>
      <c r="K52">
        <v>107</v>
      </c>
      <c r="L52">
        <v>106</v>
      </c>
      <c r="M52" s="48">
        <v>9.4339622641509396E-3</v>
      </c>
    </row>
    <row r="53" spans="1:13" x14ac:dyDescent="0.35">
      <c r="A53" t="s">
        <v>144</v>
      </c>
      <c r="B53" t="s">
        <v>13</v>
      </c>
      <c r="C53" t="s">
        <v>151</v>
      </c>
      <c r="D53" t="s">
        <v>146</v>
      </c>
      <c r="E53" t="s">
        <v>168</v>
      </c>
      <c r="F53" t="s">
        <v>16</v>
      </c>
      <c r="G53" t="s">
        <v>17</v>
      </c>
      <c r="H53">
        <v>56549</v>
      </c>
      <c r="I53">
        <v>0</v>
      </c>
      <c r="J53">
        <v>3</v>
      </c>
      <c r="K53">
        <v>284752</v>
      </c>
      <c r="L53">
        <v>272185</v>
      </c>
      <c r="M53" s="48">
        <v>0.207759428329996</v>
      </c>
    </row>
    <row r="54" spans="1:13" x14ac:dyDescent="0.35">
      <c r="A54" t="s">
        <v>144</v>
      </c>
      <c r="B54" t="s">
        <v>13</v>
      </c>
      <c r="C54" t="s">
        <v>152</v>
      </c>
      <c r="D54" t="s">
        <v>146</v>
      </c>
      <c r="E54" t="s">
        <v>168</v>
      </c>
      <c r="F54" t="s">
        <v>16</v>
      </c>
      <c r="G54" t="s">
        <v>17</v>
      </c>
      <c r="H54">
        <v>6</v>
      </c>
      <c r="I54">
        <v>0</v>
      </c>
      <c r="J54">
        <v>4</v>
      </c>
      <c r="K54">
        <v>33</v>
      </c>
      <c r="L54">
        <v>27</v>
      </c>
      <c r="M54" s="48">
        <v>0.22222222222222199</v>
      </c>
    </row>
    <row r="55" spans="1:13" x14ac:dyDescent="0.35">
      <c r="A55" t="s">
        <v>144</v>
      </c>
      <c r="B55" t="s">
        <v>13</v>
      </c>
      <c r="C55" t="s">
        <v>153</v>
      </c>
      <c r="D55" t="s">
        <v>146</v>
      </c>
      <c r="E55" t="s">
        <v>168</v>
      </c>
      <c r="F55" t="s">
        <v>16</v>
      </c>
      <c r="G55" t="s">
        <v>17</v>
      </c>
      <c r="H55">
        <v>38454</v>
      </c>
      <c r="I55">
        <v>0</v>
      </c>
      <c r="J55">
        <v>4</v>
      </c>
      <c r="K55">
        <v>216279</v>
      </c>
      <c r="L55">
        <v>212898</v>
      </c>
      <c r="M55" s="48">
        <v>0.18062170616915099</v>
      </c>
    </row>
    <row r="56" spans="1:13" x14ac:dyDescent="0.35">
      <c r="A56" t="s">
        <v>144</v>
      </c>
      <c r="B56" t="s">
        <v>13</v>
      </c>
      <c r="C56" t="s">
        <v>154</v>
      </c>
      <c r="D56" t="s">
        <v>146</v>
      </c>
      <c r="E56" t="s">
        <v>168</v>
      </c>
      <c r="F56" t="s">
        <v>16</v>
      </c>
      <c r="G56" t="s">
        <v>17</v>
      </c>
      <c r="H56">
        <v>10208</v>
      </c>
      <c r="I56">
        <v>0</v>
      </c>
      <c r="J56">
        <v>2</v>
      </c>
      <c r="K56">
        <v>153777</v>
      </c>
      <c r="L56">
        <v>153777</v>
      </c>
      <c r="M56" s="48">
        <v>6.63818386364671E-2</v>
      </c>
    </row>
    <row r="57" spans="1:13" x14ac:dyDescent="0.35">
      <c r="A57" t="s">
        <v>144</v>
      </c>
      <c r="B57" t="s">
        <v>13</v>
      </c>
      <c r="C57" t="s">
        <v>148</v>
      </c>
      <c r="D57" t="s">
        <v>146</v>
      </c>
      <c r="E57" t="s">
        <v>168</v>
      </c>
      <c r="F57" t="s">
        <v>16</v>
      </c>
      <c r="G57" t="s">
        <v>17</v>
      </c>
      <c r="H57">
        <v>14</v>
      </c>
      <c r="I57">
        <v>0</v>
      </c>
      <c r="J57">
        <v>3</v>
      </c>
      <c r="K57">
        <v>251</v>
      </c>
      <c r="L57">
        <v>242</v>
      </c>
      <c r="M57" s="48">
        <v>5.7851239669421503E-2</v>
      </c>
    </row>
    <row r="58" spans="1:13" x14ac:dyDescent="0.35">
      <c r="A58" t="s">
        <v>144</v>
      </c>
      <c r="B58" t="s">
        <v>13</v>
      </c>
      <c r="C58" t="s">
        <v>155</v>
      </c>
      <c r="D58" t="s">
        <v>146</v>
      </c>
      <c r="E58" t="s">
        <v>168</v>
      </c>
      <c r="F58" t="s">
        <v>16</v>
      </c>
      <c r="G58" t="s">
        <v>17</v>
      </c>
      <c r="H58">
        <v>0</v>
      </c>
      <c r="I58">
        <v>0</v>
      </c>
      <c r="J58">
        <v>0</v>
      </c>
      <c r="K58">
        <v>93</v>
      </c>
      <c r="L58">
        <v>93</v>
      </c>
      <c r="M58" s="48">
        <v>0</v>
      </c>
    </row>
    <row r="59" spans="1:13" x14ac:dyDescent="0.35">
      <c r="A59" t="s">
        <v>144</v>
      </c>
      <c r="B59" t="s">
        <v>13</v>
      </c>
      <c r="C59" t="s">
        <v>156</v>
      </c>
      <c r="D59" t="s">
        <v>146</v>
      </c>
      <c r="E59" t="s">
        <v>168</v>
      </c>
      <c r="F59" t="s">
        <v>16</v>
      </c>
      <c r="G59" t="s">
        <v>17</v>
      </c>
      <c r="H59">
        <v>1833</v>
      </c>
      <c r="I59">
        <v>2</v>
      </c>
      <c r="J59">
        <v>6</v>
      </c>
      <c r="K59">
        <v>123850</v>
      </c>
      <c r="L59">
        <v>123850</v>
      </c>
      <c r="M59" s="48">
        <v>1.48001614856681E-2</v>
      </c>
    </row>
    <row r="60" spans="1:13" x14ac:dyDescent="0.35">
      <c r="A60" t="s">
        <v>144</v>
      </c>
      <c r="B60" t="s">
        <v>13</v>
      </c>
      <c r="C60" t="s">
        <v>157</v>
      </c>
      <c r="D60" t="s">
        <v>146</v>
      </c>
      <c r="E60" t="s">
        <v>168</v>
      </c>
      <c r="F60" t="s">
        <v>16</v>
      </c>
      <c r="G60" t="s">
        <v>17</v>
      </c>
      <c r="H60">
        <v>6</v>
      </c>
      <c r="I60">
        <v>0</v>
      </c>
      <c r="J60">
        <v>0</v>
      </c>
      <c r="K60">
        <v>834</v>
      </c>
      <c r="L60">
        <v>798</v>
      </c>
      <c r="M60" s="48">
        <v>7.5187969924812E-3</v>
      </c>
    </row>
    <row r="61" spans="1:13" x14ac:dyDescent="0.35">
      <c r="A61" t="s">
        <v>144</v>
      </c>
      <c r="B61" t="s">
        <v>13</v>
      </c>
      <c r="C61" t="s">
        <v>158</v>
      </c>
      <c r="D61" t="s">
        <v>146</v>
      </c>
      <c r="E61" t="s">
        <v>168</v>
      </c>
      <c r="F61" t="s">
        <v>16</v>
      </c>
      <c r="G61" t="s">
        <v>17</v>
      </c>
      <c r="H61">
        <v>11</v>
      </c>
      <c r="I61">
        <v>0</v>
      </c>
      <c r="J61">
        <v>6</v>
      </c>
      <c r="K61">
        <v>952</v>
      </c>
      <c r="L61">
        <v>934</v>
      </c>
      <c r="M61" s="48">
        <v>1.1777301927194899E-2</v>
      </c>
    </row>
    <row r="62" spans="1:13" x14ac:dyDescent="0.35">
      <c r="A62" t="s">
        <v>144</v>
      </c>
      <c r="B62" t="s">
        <v>13</v>
      </c>
      <c r="C62" t="s">
        <v>145</v>
      </c>
      <c r="D62" t="s">
        <v>146</v>
      </c>
      <c r="E62" t="s">
        <v>168</v>
      </c>
      <c r="F62" t="s">
        <v>16</v>
      </c>
      <c r="G62" t="s">
        <v>17</v>
      </c>
      <c r="H62">
        <v>2</v>
      </c>
      <c r="I62">
        <v>0</v>
      </c>
      <c r="J62">
        <v>0</v>
      </c>
      <c r="K62">
        <v>9</v>
      </c>
      <c r="L62">
        <v>8</v>
      </c>
      <c r="M62" s="48">
        <v>0.25</v>
      </c>
    </row>
    <row r="63" spans="1:13" x14ac:dyDescent="0.35">
      <c r="A63" t="s">
        <v>144</v>
      </c>
      <c r="B63" t="s">
        <v>13</v>
      </c>
      <c r="C63" t="s">
        <v>152</v>
      </c>
      <c r="D63" t="s">
        <v>146</v>
      </c>
      <c r="E63" t="s">
        <v>169</v>
      </c>
      <c r="F63" t="s">
        <v>23</v>
      </c>
      <c r="G63" t="s">
        <v>18</v>
      </c>
      <c r="H63">
        <v>8</v>
      </c>
      <c r="I63">
        <v>0</v>
      </c>
      <c r="J63">
        <v>4</v>
      </c>
      <c r="K63">
        <v>30</v>
      </c>
      <c r="L63">
        <v>23</v>
      </c>
      <c r="M63" s="48">
        <v>0.34782608695652201</v>
      </c>
    </row>
    <row r="64" spans="1:13" x14ac:dyDescent="0.35">
      <c r="A64" t="s">
        <v>144</v>
      </c>
      <c r="B64" t="s">
        <v>13</v>
      </c>
      <c r="C64" t="s">
        <v>148</v>
      </c>
      <c r="D64" t="s">
        <v>146</v>
      </c>
      <c r="E64" t="s">
        <v>169</v>
      </c>
      <c r="F64" t="s">
        <v>23</v>
      </c>
      <c r="G64" t="s">
        <v>18</v>
      </c>
      <c r="H64">
        <v>5</v>
      </c>
      <c r="I64">
        <v>0</v>
      </c>
      <c r="J64">
        <v>1</v>
      </c>
      <c r="K64">
        <v>236</v>
      </c>
      <c r="L64">
        <v>232</v>
      </c>
      <c r="M64" s="48">
        <v>2.1551724137931001E-2</v>
      </c>
    </row>
    <row r="65" spans="1:13" x14ac:dyDescent="0.35">
      <c r="A65" t="s">
        <v>144</v>
      </c>
      <c r="B65" t="s">
        <v>13</v>
      </c>
      <c r="C65" t="s">
        <v>145</v>
      </c>
      <c r="D65" t="s">
        <v>146</v>
      </c>
      <c r="E65" t="s">
        <v>170</v>
      </c>
      <c r="F65" t="s">
        <v>28</v>
      </c>
      <c r="G65" t="s">
        <v>29</v>
      </c>
      <c r="H65">
        <v>5</v>
      </c>
      <c r="I65">
        <v>0</v>
      </c>
      <c r="J65">
        <v>0</v>
      </c>
      <c r="K65">
        <v>60</v>
      </c>
      <c r="L65">
        <v>51</v>
      </c>
      <c r="M65" s="48">
        <v>9.8039215686274495E-2</v>
      </c>
    </row>
    <row r="66" spans="1:13" x14ac:dyDescent="0.35">
      <c r="A66" t="s">
        <v>144</v>
      </c>
      <c r="B66" t="s">
        <v>13</v>
      </c>
      <c r="C66" t="s">
        <v>149</v>
      </c>
      <c r="D66" t="s">
        <v>146</v>
      </c>
      <c r="E66" t="s">
        <v>170</v>
      </c>
      <c r="F66" t="s">
        <v>16</v>
      </c>
      <c r="G66" t="s">
        <v>17</v>
      </c>
      <c r="H66">
        <v>3</v>
      </c>
      <c r="I66">
        <v>0</v>
      </c>
      <c r="J66">
        <v>0</v>
      </c>
      <c r="K66">
        <v>229</v>
      </c>
      <c r="L66">
        <v>222</v>
      </c>
      <c r="M66" s="48">
        <v>1.35135135135135E-2</v>
      </c>
    </row>
    <row r="67" spans="1:13" x14ac:dyDescent="0.35">
      <c r="A67" t="s">
        <v>144</v>
      </c>
      <c r="B67" t="s">
        <v>13</v>
      </c>
      <c r="C67" t="s">
        <v>150</v>
      </c>
      <c r="D67" t="s">
        <v>146</v>
      </c>
      <c r="E67" t="s">
        <v>170</v>
      </c>
      <c r="F67" t="s">
        <v>16</v>
      </c>
      <c r="G67" t="s">
        <v>17</v>
      </c>
      <c r="H67">
        <v>0</v>
      </c>
      <c r="I67">
        <v>0</v>
      </c>
      <c r="J67">
        <v>0</v>
      </c>
      <c r="K67">
        <v>122</v>
      </c>
      <c r="L67">
        <v>120</v>
      </c>
      <c r="M67" s="48">
        <v>0</v>
      </c>
    </row>
    <row r="68" spans="1:13" x14ac:dyDescent="0.35">
      <c r="A68" t="s">
        <v>144</v>
      </c>
      <c r="B68" t="s">
        <v>13</v>
      </c>
      <c r="C68" t="s">
        <v>151</v>
      </c>
      <c r="D68" t="s">
        <v>146</v>
      </c>
      <c r="E68" t="s">
        <v>170</v>
      </c>
      <c r="F68" t="s">
        <v>16</v>
      </c>
      <c r="G68" t="s">
        <v>17</v>
      </c>
      <c r="H68">
        <v>0</v>
      </c>
      <c r="I68">
        <v>0</v>
      </c>
      <c r="J68">
        <v>0</v>
      </c>
      <c r="K68">
        <v>35</v>
      </c>
      <c r="L68">
        <v>35</v>
      </c>
      <c r="M68" s="48">
        <v>0</v>
      </c>
    </row>
    <row r="69" spans="1:13" x14ac:dyDescent="0.35">
      <c r="A69" t="s">
        <v>144</v>
      </c>
      <c r="B69" t="s">
        <v>13</v>
      </c>
      <c r="C69" t="s">
        <v>152</v>
      </c>
      <c r="D69" t="s">
        <v>146</v>
      </c>
      <c r="E69" t="s">
        <v>170</v>
      </c>
      <c r="F69" t="s">
        <v>16</v>
      </c>
      <c r="G69" t="s">
        <v>17</v>
      </c>
      <c r="H69">
        <v>10</v>
      </c>
      <c r="I69">
        <v>0</v>
      </c>
      <c r="J69">
        <v>5</v>
      </c>
      <c r="K69">
        <v>40</v>
      </c>
      <c r="L69">
        <v>33</v>
      </c>
      <c r="M69" s="48">
        <v>0.30303030303030298</v>
      </c>
    </row>
    <row r="70" spans="1:13" x14ac:dyDescent="0.35">
      <c r="A70" t="s">
        <v>144</v>
      </c>
      <c r="B70" t="s">
        <v>13</v>
      </c>
      <c r="C70" t="s">
        <v>153</v>
      </c>
      <c r="D70" t="s">
        <v>146</v>
      </c>
      <c r="E70" t="s">
        <v>170</v>
      </c>
      <c r="F70" t="s">
        <v>16</v>
      </c>
      <c r="G70" t="s">
        <v>17</v>
      </c>
      <c r="H70">
        <v>0</v>
      </c>
      <c r="I70">
        <v>0</v>
      </c>
      <c r="J70">
        <v>0</v>
      </c>
      <c r="K70">
        <v>101</v>
      </c>
      <c r="L70">
        <v>97</v>
      </c>
      <c r="M70" s="48">
        <v>0</v>
      </c>
    </row>
    <row r="71" spans="1:13" x14ac:dyDescent="0.35">
      <c r="A71" t="s">
        <v>144</v>
      </c>
      <c r="B71" t="s">
        <v>13</v>
      </c>
      <c r="C71" t="s">
        <v>154</v>
      </c>
      <c r="D71" t="s">
        <v>146</v>
      </c>
      <c r="E71" t="s">
        <v>170</v>
      </c>
      <c r="F71" t="s">
        <v>16</v>
      </c>
      <c r="G71" t="s">
        <v>17</v>
      </c>
      <c r="H71">
        <v>1</v>
      </c>
      <c r="I71">
        <v>0</v>
      </c>
      <c r="J71">
        <v>0</v>
      </c>
      <c r="K71">
        <v>86</v>
      </c>
      <c r="L71">
        <v>79</v>
      </c>
      <c r="M71" s="48">
        <v>1.26582278481013E-2</v>
      </c>
    </row>
    <row r="72" spans="1:13" x14ac:dyDescent="0.35">
      <c r="A72" t="s">
        <v>144</v>
      </c>
      <c r="B72" t="s">
        <v>13</v>
      </c>
      <c r="C72" t="s">
        <v>148</v>
      </c>
      <c r="D72" t="s">
        <v>146</v>
      </c>
      <c r="E72" t="s">
        <v>170</v>
      </c>
      <c r="F72" t="s">
        <v>16</v>
      </c>
      <c r="G72" t="s">
        <v>17</v>
      </c>
      <c r="H72">
        <v>3</v>
      </c>
      <c r="I72">
        <v>0</v>
      </c>
      <c r="J72">
        <v>1</v>
      </c>
      <c r="K72">
        <v>249</v>
      </c>
      <c r="L72">
        <v>246</v>
      </c>
      <c r="M72" s="48">
        <v>1.21951219512195E-2</v>
      </c>
    </row>
    <row r="73" spans="1:13" x14ac:dyDescent="0.35">
      <c r="A73" t="s">
        <v>144</v>
      </c>
      <c r="B73" t="s">
        <v>13</v>
      </c>
      <c r="C73" t="s">
        <v>155</v>
      </c>
      <c r="D73" t="s">
        <v>146</v>
      </c>
      <c r="E73" t="s">
        <v>170</v>
      </c>
      <c r="F73" t="s">
        <v>16</v>
      </c>
      <c r="G73" t="s">
        <v>17</v>
      </c>
      <c r="H73">
        <v>1</v>
      </c>
      <c r="I73">
        <v>0</v>
      </c>
      <c r="J73">
        <v>0</v>
      </c>
      <c r="K73">
        <v>108</v>
      </c>
      <c r="L73">
        <v>108</v>
      </c>
      <c r="M73" s="48">
        <v>9.2592592592592605E-3</v>
      </c>
    </row>
    <row r="74" spans="1:13" x14ac:dyDescent="0.35">
      <c r="A74" t="s">
        <v>144</v>
      </c>
      <c r="B74" t="s">
        <v>13</v>
      </c>
      <c r="C74" t="s">
        <v>156</v>
      </c>
      <c r="D74" t="s">
        <v>146</v>
      </c>
      <c r="E74" t="s">
        <v>170</v>
      </c>
      <c r="F74" t="s">
        <v>16</v>
      </c>
      <c r="G74" t="s">
        <v>17</v>
      </c>
      <c r="H74">
        <v>2</v>
      </c>
      <c r="I74">
        <v>0</v>
      </c>
      <c r="J74">
        <v>1</v>
      </c>
      <c r="K74">
        <v>38</v>
      </c>
      <c r="L74">
        <v>33</v>
      </c>
      <c r="M74" s="48">
        <v>6.0606060606060601E-2</v>
      </c>
    </row>
    <row r="75" spans="1:13" x14ac:dyDescent="0.35">
      <c r="A75" t="s">
        <v>144</v>
      </c>
      <c r="B75" t="s">
        <v>13</v>
      </c>
      <c r="C75" t="s">
        <v>157</v>
      </c>
      <c r="D75" t="s">
        <v>146</v>
      </c>
      <c r="E75" t="s">
        <v>170</v>
      </c>
      <c r="F75" t="s">
        <v>16</v>
      </c>
      <c r="G75" t="s">
        <v>17</v>
      </c>
      <c r="H75">
        <v>5</v>
      </c>
      <c r="I75">
        <v>0</v>
      </c>
      <c r="J75">
        <v>0</v>
      </c>
      <c r="K75">
        <v>739</v>
      </c>
      <c r="L75">
        <v>695</v>
      </c>
      <c r="M75" s="48">
        <v>7.1942446043165497E-3</v>
      </c>
    </row>
    <row r="76" spans="1:13" x14ac:dyDescent="0.35">
      <c r="A76" t="s">
        <v>144</v>
      </c>
      <c r="B76" t="s">
        <v>13</v>
      </c>
      <c r="C76" t="s">
        <v>158</v>
      </c>
      <c r="D76" t="s">
        <v>146</v>
      </c>
      <c r="E76" t="s">
        <v>170</v>
      </c>
      <c r="F76" t="s">
        <v>16</v>
      </c>
      <c r="G76" t="s">
        <v>17</v>
      </c>
      <c r="H76">
        <v>12</v>
      </c>
      <c r="I76">
        <v>0</v>
      </c>
      <c r="J76">
        <v>3</v>
      </c>
      <c r="K76">
        <v>1115</v>
      </c>
      <c r="L76">
        <v>1088</v>
      </c>
      <c r="M76" s="48">
        <v>1.10294117647059E-2</v>
      </c>
    </row>
    <row r="77" spans="1:13" x14ac:dyDescent="0.35">
      <c r="A77" t="s">
        <v>144</v>
      </c>
      <c r="B77" t="s">
        <v>13</v>
      </c>
      <c r="C77" t="s">
        <v>158</v>
      </c>
      <c r="D77" t="s">
        <v>162</v>
      </c>
      <c r="E77" t="s">
        <v>171</v>
      </c>
      <c r="F77" t="s">
        <v>21</v>
      </c>
      <c r="G77" t="s">
        <v>164</v>
      </c>
      <c r="H77">
        <v>7</v>
      </c>
      <c r="I77">
        <v>0</v>
      </c>
      <c r="J77">
        <v>2</v>
      </c>
      <c r="K77">
        <v>3008</v>
      </c>
      <c r="L77">
        <v>2196</v>
      </c>
      <c r="M77" s="48">
        <v>3.1876138433515498E-3</v>
      </c>
    </row>
    <row r="78" spans="1:13" x14ac:dyDescent="0.35">
      <c r="A78" t="s">
        <v>144</v>
      </c>
      <c r="B78" t="s">
        <v>36</v>
      </c>
      <c r="C78" t="s">
        <v>148</v>
      </c>
      <c r="D78" t="s">
        <v>146</v>
      </c>
      <c r="E78" t="s">
        <v>147</v>
      </c>
      <c r="F78" t="s">
        <v>16</v>
      </c>
      <c r="G78" t="s">
        <v>17</v>
      </c>
      <c r="H78">
        <v>6</v>
      </c>
      <c r="I78">
        <v>6</v>
      </c>
      <c r="J78">
        <v>0</v>
      </c>
      <c r="K78">
        <v>79</v>
      </c>
      <c r="L78">
        <v>73</v>
      </c>
      <c r="M78" s="48">
        <v>8.2191780821917804E-2</v>
      </c>
    </row>
    <row r="79" spans="1:13" x14ac:dyDescent="0.35">
      <c r="A79" t="s">
        <v>144</v>
      </c>
      <c r="B79" t="s">
        <v>36</v>
      </c>
      <c r="C79" t="s">
        <v>150</v>
      </c>
      <c r="D79" t="s">
        <v>146</v>
      </c>
      <c r="E79" t="s">
        <v>147</v>
      </c>
      <c r="F79" t="s">
        <v>16</v>
      </c>
      <c r="G79" t="s">
        <v>17</v>
      </c>
      <c r="H79">
        <v>2</v>
      </c>
      <c r="I79">
        <v>2</v>
      </c>
      <c r="J79">
        <v>0</v>
      </c>
      <c r="K79">
        <v>18</v>
      </c>
      <c r="L79">
        <v>16</v>
      </c>
      <c r="M79" s="48">
        <v>0.125</v>
      </c>
    </row>
    <row r="80" spans="1:13" x14ac:dyDescent="0.35">
      <c r="A80" t="s">
        <v>144</v>
      </c>
      <c r="B80" t="s">
        <v>36</v>
      </c>
      <c r="C80" t="s">
        <v>151</v>
      </c>
      <c r="D80" t="s">
        <v>146</v>
      </c>
      <c r="E80" t="s">
        <v>147</v>
      </c>
      <c r="F80" t="s">
        <v>16</v>
      </c>
      <c r="G80" t="s">
        <v>17</v>
      </c>
      <c r="H80">
        <v>0</v>
      </c>
      <c r="I80">
        <v>0</v>
      </c>
      <c r="J80">
        <v>0</v>
      </c>
      <c r="K80">
        <v>15</v>
      </c>
      <c r="L80">
        <v>13</v>
      </c>
      <c r="M80" s="48">
        <v>0</v>
      </c>
    </row>
    <row r="81" spans="1:13" x14ac:dyDescent="0.35">
      <c r="A81" t="s">
        <v>144</v>
      </c>
      <c r="B81" t="s">
        <v>36</v>
      </c>
      <c r="C81" t="s">
        <v>152</v>
      </c>
      <c r="D81" t="s">
        <v>146</v>
      </c>
      <c r="E81" t="s">
        <v>147</v>
      </c>
      <c r="F81" t="s">
        <v>16</v>
      </c>
      <c r="G81" t="s">
        <v>17</v>
      </c>
      <c r="H81">
        <v>7</v>
      </c>
      <c r="I81">
        <v>7</v>
      </c>
      <c r="J81">
        <v>0</v>
      </c>
      <c r="K81">
        <v>51</v>
      </c>
      <c r="L81">
        <v>47</v>
      </c>
      <c r="M81" s="48">
        <v>0.14893617021276601</v>
      </c>
    </row>
    <row r="82" spans="1:13" x14ac:dyDescent="0.35">
      <c r="A82" t="s">
        <v>144</v>
      </c>
      <c r="B82" t="s">
        <v>36</v>
      </c>
      <c r="C82" t="s">
        <v>153</v>
      </c>
      <c r="D82" t="s">
        <v>146</v>
      </c>
      <c r="E82" t="s">
        <v>147</v>
      </c>
      <c r="F82" t="s">
        <v>16</v>
      </c>
      <c r="G82" t="s">
        <v>17</v>
      </c>
      <c r="H82">
        <v>0</v>
      </c>
      <c r="I82">
        <v>0</v>
      </c>
      <c r="J82">
        <v>0</v>
      </c>
      <c r="K82">
        <v>4</v>
      </c>
      <c r="L82">
        <v>4</v>
      </c>
      <c r="M82" s="48">
        <v>0</v>
      </c>
    </row>
    <row r="83" spans="1:13" x14ac:dyDescent="0.35">
      <c r="A83" t="s">
        <v>144</v>
      </c>
      <c r="B83" t="s">
        <v>36</v>
      </c>
      <c r="C83" t="s">
        <v>154</v>
      </c>
      <c r="D83" t="s">
        <v>146</v>
      </c>
      <c r="E83" t="s">
        <v>147</v>
      </c>
      <c r="F83" t="s">
        <v>16</v>
      </c>
      <c r="G83" t="s">
        <v>17</v>
      </c>
      <c r="H83">
        <v>1</v>
      </c>
      <c r="I83">
        <v>1</v>
      </c>
      <c r="J83">
        <v>0</v>
      </c>
      <c r="K83">
        <v>15</v>
      </c>
      <c r="L83">
        <v>15</v>
      </c>
      <c r="M83" s="48">
        <v>6.6666666666666693E-2</v>
      </c>
    </row>
    <row r="84" spans="1:13" x14ac:dyDescent="0.35">
      <c r="A84" t="s">
        <v>144</v>
      </c>
      <c r="B84" t="s">
        <v>36</v>
      </c>
      <c r="C84" t="s">
        <v>155</v>
      </c>
      <c r="D84" t="s">
        <v>146</v>
      </c>
      <c r="E84" t="s">
        <v>147</v>
      </c>
      <c r="F84" t="s">
        <v>16</v>
      </c>
      <c r="G84" t="s">
        <v>17</v>
      </c>
      <c r="H84">
        <v>2</v>
      </c>
      <c r="I84">
        <v>2</v>
      </c>
      <c r="J84">
        <v>0</v>
      </c>
      <c r="K84">
        <v>13</v>
      </c>
      <c r="L84">
        <v>11</v>
      </c>
      <c r="M84" s="48">
        <v>0.18181818181818199</v>
      </c>
    </row>
    <row r="85" spans="1:13" x14ac:dyDescent="0.35">
      <c r="A85" t="s">
        <v>144</v>
      </c>
      <c r="B85" t="s">
        <v>36</v>
      </c>
      <c r="C85" t="s">
        <v>156</v>
      </c>
      <c r="D85" t="s">
        <v>146</v>
      </c>
      <c r="E85" t="s">
        <v>147</v>
      </c>
      <c r="F85" t="s">
        <v>16</v>
      </c>
      <c r="G85" t="s">
        <v>17</v>
      </c>
      <c r="H85">
        <v>1</v>
      </c>
      <c r="I85">
        <v>1</v>
      </c>
      <c r="J85">
        <v>0</v>
      </c>
      <c r="K85">
        <v>13</v>
      </c>
      <c r="L85">
        <v>12</v>
      </c>
      <c r="M85" s="48">
        <v>8.3333333333333301E-2</v>
      </c>
    </row>
    <row r="86" spans="1:13" x14ac:dyDescent="0.35">
      <c r="A86" t="s">
        <v>144</v>
      </c>
      <c r="B86" t="s">
        <v>36</v>
      </c>
      <c r="C86" t="s">
        <v>157</v>
      </c>
      <c r="D86" t="s">
        <v>146</v>
      </c>
      <c r="E86" t="s">
        <v>147</v>
      </c>
      <c r="F86" t="s">
        <v>16</v>
      </c>
      <c r="G86" t="s">
        <v>17</v>
      </c>
      <c r="H86">
        <v>0</v>
      </c>
      <c r="I86">
        <v>0</v>
      </c>
      <c r="J86">
        <v>0</v>
      </c>
      <c r="K86">
        <v>14</v>
      </c>
      <c r="L86">
        <v>12</v>
      </c>
      <c r="M86" s="48">
        <v>0</v>
      </c>
    </row>
    <row r="87" spans="1:13" x14ac:dyDescent="0.35">
      <c r="A87" t="s">
        <v>144</v>
      </c>
      <c r="B87" t="s">
        <v>36</v>
      </c>
      <c r="C87" t="s">
        <v>158</v>
      </c>
      <c r="D87" t="s">
        <v>146</v>
      </c>
      <c r="E87" t="s">
        <v>147</v>
      </c>
      <c r="F87" t="s">
        <v>16</v>
      </c>
      <c r="G87" t="s">
        <v>17</v>
      </c>
      <c r="H87">
        <v>4</v>
      </c>
      <c r="I87">
        <v>4</v>
      </c>
      <c r="J87">
        <v>0</v>
      </c>
      <c r="K87">
        <v>34</v>
      </c>
      <c r="L87">
        <v>33</v>
      </c>
      <c r="M87" s="48">
        <v>0.12121212121212099</v>
      </c>
    </row>
    <row r="88" spans="1:13" x14ac:dyDescent="0.35">
      <c r="A88" t="s">
        <v>144</v>
      </c>
      <c r="B88" t="s">
        <v>36</v>
      </c>
      <c r="C88" t="s">
        <v>145</v>
      </c>
      <c r="D88" t="s">
        <v>146</v>
      </c>
      <c r="E88" t="s">
        <v>147</v>
      </c>
      <c r="F88" t="s">
        <v>28</v>
      </c>
      <c r="G88" t="s">
        <v>29</v>
      </c>
      <c r="H88">
        <v>4</v>
      </c>
      <c r="I88">
        <v>4</v>
      </c>
      <c r="J88">
        <v>0</v>
      </c>
      <c r="K88">
        <v>15</v>
      </c>
      <c r="L88">
        <v>15</v>
      </c>
      <c r="M88" s="48">
        <v>0.266666666666667</v>
      </c>
    </row>
    <row r="89" spans="1:13" x14ac:dyDescent="0.35">
      <c r="A89" t="s">
        <v>144</v>
      </c>
      <c r="B89" t="s">
        <v>36</v>
      </c>
      <c r="C89" t="s">
        <v>150</v>
      </c>
      <c r="D89" t="s">
        <v>146</v>
      </c>
      <c r="E89" t="s">
        <v>159</v>
      </c>
      <c r="F89" t="s">
        <v>18</v>
      </c>
      <c r="G89" t="s">
        <v>19</v>
      </c>
      <c r="H89">
        <v>1</v>
      </c>
      <c r="I89">
        <v>1</v>
      </c>
      <c r="J89">
        <v>0</v>
      </c>
      <c r="K89">
        <v>7</v>
      </c>
      <c r="L89">
        <v>7</v>
      </c>
      <c r="M89" s="48">
        <v>0.14285714285714299</v>
      </c>
    </row>
    <row r="90" spans="1:13" x14ac:dyDescent="0.35">
      <c r="A90" t="s">
        <v>144</v>
      </c>
      <c r="B90" t="s">
        <v>36</v>
      </c>
      <c r="C90" t="s">
        <v>151</v>
      </c>
      <c r="D90" t="s">
        <v>146</v>
      </c>
      <c r="E90" t="s">
        <v>159</v>
      </c>
      <c r="F90" t="s">
        <v>18</v>
      </c>
      <c r="G90" t="s">
        <v>19</v>
      </c>
      <c r="H90">
        <v>0</v>
      </c>
      <c r="I90">
        <v>0</v>
      </c>
      <c r="J90">
        <v>0</v>
      </c>
      <c r="K90">
        <v>9</v>
      </c>
      <c r="L90">
        <v>9</v>
      </c>
      <c r="M90" s="48">
        <v>0</v>
      </c>
    </row>
    <row r="91" spans="1:13" x14ac:dyDescent="0.35">
      <c r="A91" t="s">
        <v>144</v>
      </c>
      <c r="B91" t="s">
        <v>36</v>
      </c>
      <c r="C91" t="s">
        <v>152</v>
      </c>
      <c r="D91" t="s">
        <v>146</v>
      </c>
      <c r="E91" t="s">
        <v>159</v>
      </c>
      <c r="F91" t="s">
        <v>18</v>
      </c>
      <c r="G91" t="s">
        <v>19</v>
      </c>
      <c r="H91">
        <v>8</v>
      </c>
      <c r="I91">
        <v>8</v>
      </c>
      <c r="J91">
        <v>0</v>
      </c>
      <c r="K91">
        <v>60</v>
      </c>
      <c r="L91">
        <v>57</v>
      </c>
      <c r="M91" s="48">
        <v>0.140350877192982</v>
      </c>
    </row>
    <row r="92" spans="1:13" x14ac:dyDescent="0.35">
      <c r="A92" t="s">
        <v>144</v>
      </c>
      <c r="B92" t="s">
        <v>36</v>
      </c>
      <c r="C92" t="s">
        <v>153</v>
      </c>
      <c r="D92" t="s">
        <v>146</v>
      </c>
      <c r="E92" t="s">
        <v>159</v>
      </c>
      <c r="F92" t="s">
        <v>18</v>
      </c>
      <c r="G92" t="s">
        <v>19</v>
      </c>
      <c r="H92">
        <v>0</v>
      </c>
      <c r="I92">
        <v>0</v>
      </c>
      <c r="J92">
        <v>0</v>
      </c>
      <c r="K92">
        <v>3</v>
      </c>
      <c r="L92">
        <v>3</v>
      </c>
      <c r="M92" s="48">
        <v>0</v>
      </c>
    </row>
    <row r="93" spans="1:13" x14ac:dyDescent="0.35">
      <c r="A93" t="s">
        <v>144</v>
      </c>
      <c r="B93" t="s">
        <v>36</v>
      </c>
      <c r="C93" t="s">
        <v>154</v>
      </c>
      <c r="D93" t="s">
        <v>146</v>
      </c>
      <c r="E93" t="s">
        <v>159</v>
      </c>
      <c r="F93" t="s">
        <v>18</v>
      </c>
      <c r="G93" t="s">
        <v>19</v>
      </c>
      <c r="H93">
        <v>0</v>
      </c>
      <c r="I93">
        <v>0</v>
      </c>
      <c r="J93">
        <v>0</v>
      </c>
      <c r="K93">
        <v>19</v>
      </c>
      <c r="L93">
        <v>18</v>
      </c>
      <c r="M93" s="48">
        <v>0</v>
      </c>
    </row>
    <row r="94" spans="1:13" x14ac:dyDescent="0.35">
      <c r="A94" t="s">
        <v>144</v>
      </c>
      <c r="B94" t="s">
        <v>36</v>
      </c>
      <c r="C94" t="s">
        <v>148</v>
      </c>
      <c r="D94" t="s">
        <v>146</v>
      </c>
      <c r="E94" t="s">
        <v>159</v>
      </c>
      <c r="F94" t="s">
        <v>18</v>
      </c>
      <c r="G94" t="s">
        <v>19</v>
      </c>
      <c r="H94">
        <v>4</v>
      </c>
      <c r="I94">
        <v>4</v>
      </c>
      <c r="J94">
        <v>0</v>
      </c>
      <c r="K94">
        <v>77</v>
      </c>
      <c r="L94">
        <v>74</v>
      </c>
      <c r="M94" s="48">
        <v>5.4054054054054099E-2</v>
      </c>
    </row>
    <row r="95" spans="1:13" x14ac:dyDescent="0.35">
      <c r="A95" t="s">
        <v>144</v>
      </c>
      <c r="B95" t="s">
        <v>36</v>
      </c>
      <c r="C95" t="s">
        <v>155</v>
      </c>
      <c r="D95" t="s">
        <v>146</v>
      </c>
      <c r="E95" t="s">
        <v>159</v>
      </c>
      <c r="F95" t="s">
        <v>18</v>
      </c>
      <c r="G95" t="s">
        <v>19</v>
      </c>
      <c r="H95">
        <v>2</v>
      </c>
      <c r="I95">
        <v>2</v>
      </c>
      <c r="J95">
        <v>0</v>
      </c>
      <c r="K95">
        <v>7</v>
      </c>
      <c r="L95">
        <v>7</v>
      </c>
      <c r="M95" s="48">
        <v>0.28571428571428598</v>
      </c>
    </row>
    <row r="96" spans="1:13" x14ac:dyDescent="0.35">
      <c r="A96" t="s">
        <v>144</v>
      </c>
      <c r="B96" t="s">
        <v>36</v>
      </c>
      <c r="C96" t="s">
        <v>156</v>
      </c>
      <c r="D96" t="s">
        <v>146</v>
      </c>
      <c r="E96" t="s">
        <v>159</v>
      </c>
      <c r="F96" t="s">
        <v>18</v>
      </c>
      <c r="G96" t="s">
        <v>19</v>
      </c>
      <c r="H96">
        <v>1</v>
      </c>
      <c r="I96">
        <v>1</v>
      </c>
      <c r="J96">
        <v>0</v>
      </c>
      <c r="K96">
        <v>11</v>
      </c>
      <c r="L96">
        <v>10</v>
      </c>
      <c r="M96" s="48">
        <v>0.1</v>
      </c>
    </row>
    <row r="97" spans="1:13" x14ac:dyDescent="0.35">
      <c r="A97" t="s">
        <v>144</v>
      </c>
      <c r="B97" t="s">
        <v>36</v>
      </c>
      <c r="C97" t="s">
        <v>157</v>
      </c>
      <c r="D97" t="s">
        <v>146</v>
      </c>
      <c r="E97" t="s">
        <v>159</v>
      </c>
      <c r="F97" t="s">
        <v>18</v>
      </c>
      <c r="G97" t="s">
        <v>19</v>
      </c>
      <c r="H97">
        <v>0</v>
      </c>
      <c r="I97">
        <v>0</v>
      </c>
      <c r="J97">
        <v>0</v>
      </c>
      <c r="K97">
        <v>12</v>
      </c>
      <c r="L97">
        <v>10</v>
      </c>
      <c r="M97" s="48">
        <v>0</v>
      </c>
    </row>
    <row r="98" spans="1:13" x14ac:dyDescent="0.35">
      <c r="A98" t="s">
        <v>144</v>
      </c>
      <c r="B98" t="s">
        <v>36</v>
      </c>
      <c r="C98" t="s">
        <v>158</v>
      </c>
      <c r="D98" t="s">
        <v>146</v>
      </c>
      <c r="E98" t="s">
        <v>159</v>
      </c>
      <c r="F98" t="s">
        <v>18</v>
      </c>
      <c r="G98" t="s">
        <v>19</v>
      </c>
      <c r="H98">
        <v>5</v>
      </c>
      <c r="I98">
        <v>5</v>
      </c>
      <c r="J98">
        <v>0</v>
      </c>
      <c r="K98">
        <v>45</v>
      </c>
      <c r="L98">
        <v>44</v>
      </c>
      <c r="M98" s="48">
        <v>0.11363636363636399</v>
      </c>
    </row>
    <row r="99" spans="1:13" x14ac:dyDescent="0.35">
      <c r="A99" t="s">
        <v>144</v>
      </c>
      <c r="B99" t="s">
        <v>36</v>
      </c>
      <c r="C99" t="s">
        <v>154</v>
      </c>
      <c r="D99" t="s">
        <v>146</v>
      </c>
      <c r="E99" t="s">
        <v>160</v>
      </c>
      <c r="F99" t="s">
        <v>16</v>
      </c>
      <c r="G99" t="s">
        <v>20</v>
      </c>
      <c r="H99">
        <v>0</v>
      </c>
      <c r="I99">
        <v>0</v>
      </c>
      <c r="J99">
        <v>0</v>
      </c>
      <c r="K99">
        <v>13</v>
      </c>
      <c r="L99">
        <v>12</v>
      </c>
      <c r="M99" s="48">
        <v>0</v>
      </c>
    </row>
    <row r="100" spans="1:13" x14ac:dyDescent="0.35">
      <c r="A100" t="s">
        <v>144</v>
      </c>
      <c r="B100" t="s">
        <v>36</v>
      </c>
      <c r="C100" t="s">
        <v>152</v>
      </c>
      <c r="D100" t="s">
        <v>146</v>
      </c>
      <c r="E100" t="s">
        <v>160</v>
      </c>
      <c r="F100" t="s">
        <v>16</v>
      </c>
      <c r="G100" t="s">
        <v>20</v>
      </c>
      <c r="H100">
        <v>15</v>
      </c>
      <c r="I100">
        <v>15</v>
      </c>
      <c r="J100">
        <v>0</v>
      </c>
      <c r="K100">
        <v>78</v>
      </c>
      <c r="L100">
        <v>70</v>
      </c>
      <c r="M100" s="48">
        <v>0.214285714285714</v>
      </c>
    </row>
    <row r="101" spans="1:13" x14ac:dyDescent="0.35">
      <c r="A101" t="s">
        <v>144</v>
      </c>
      <c r="B101" t="s">
        <v>36</v>
      </c>
      <c r="C101" t="s">
        <v>156</v>
      </c>
      <c r="D101" t="s">
        <v>146</v>
      </c>
      <c r="E101" t="s">
        <v>160</v>
      </c>
      <c r="F101" t="s">
        <v>16</v>
      </c>
      <c r="G101" t="s">
        <v>20</v>
      </c>
      <c r="H101">
        <v>1</v>
      </c>
      <c r="I101">
        <v>1</v>
      </c>
      <c r="J101">
        <v>0</v>
      </c>
      <c r="K101">
        <v>9</v>
      </c>
      <c r="L101">
        <v>9</v>
      </c>
      <c r="M101" s="48">
        <v>0.11111111111111099</v>
      </c>
    </row>
    <row r="102" spans="1:13" x14ac:dyDescent="0.35">
      <c r="A102" t="s">
        <v>144</v>
      </c>
      <c r="B102" t="s">
        <v>36</v>
      </c>
      <c r="C102" t="s">
        <v>157</v>
      </c>
      <c r="D102" t="s">
        <v>146</v>
      </c>
      <c r="E102" t="s">
        <v>160</v>
      </c>
      <c r="F102" t="s">
        <v>16</v>
      </c>
      <c r="G102" t="s">
        <v>20</v>
      </c>
      <c r="H102">
        <v>1</v>
      </c>
      <c r="I102">
        <v>1</v>
      </c>
      <c r="J102">
        <v>0</v>
      </c>
      <c r="K102">
        <v>13</v>
      </c>
      <c r="L102">
        <v>11</v>
      </c>
      <c r="M102" s="48">
        <v>9.0909090909090898E-2</v>
      </c>
    </row>
    <row r="103" spans="1:13" x14ac:dyDescent="0.35">
      <c r="A103" t="s">
        <v>144</v>
      </c>
      <c r="B103" t="s">
        <v>36</v>
      </c>
      <c r="C103" t="s">
        <v>148</v>
      </c>
      <c r="D103" t="s">
        <v>146</v>
      </c>
      <c r="E103" t="s">
        <v>160</v>
      </c>
      <c r="F103" t="s">
        <v>16</v>
      </c>
      <c r="G103" t="s">
        <v>20</v>
      </c>
      <c r="H103">
        <v>11</v>
      </c>
      <c r="I103">
        <v>11</v>
      </c>
      <c r="J103">
        <v>0</v>
      </c>
      <c r="K103">
        <v>126</v>
      </c>
      <c r="L103">
        <v>116</v>
      </c>
      <c r="M103" s="48">
        <v>9.4827586206896505E-2</v>
      </c>
    </row>
    <row r="104" spans="1:13" x14ac:dyDescent="0.35">
      <c r="A104" t="s">
        <v>144</v>
      </c>
      <c r="B104" t="s">
        <v>36</v>
      </c>
      <c r="C104" t="s">
        <v>155</v>
      </c>
      <c r="D104" t="s">
        <v>146</v>
      </c>
      <c r="E104" t="s">
        <v>160</v>
      </c>
      <c r="F104" t="s">
        <v>16</v>
      </c>
      <c r="G104" t="s">
        <v>20</v>
      </c>
      <c r="H104">
        <v>1</v>
      </c>
      <c r="I104">
        <v>1</v>
      </c>
      <c r="J104">
        <v>0</v>
      </c>
      <c r="K104">
        <v>5</v>
      </c>
      <c r="L104">
        <v>5</v>
      </c>
      <c r="M104" s="48">
        <v>0.2</v>
      </c>
    </row>
    <row r="105" spans="1:13" x14ac:dyDescent="0.35">
      <c r="A105" t="s">
        <v>144</v>
      </c>
      <c r="B105" t="s">
        <v>36</v>
      </c>
      <c r="C105" t="s">
        <v>150</v>
      </c>
      <c r="D105" t="s">
        <v>146</v>
      </c>
      <c r="E105" t="s">
        <v>160</v>
      </c>
      <c r="F105" t="s">
        <v>16</v>
      </c>
      <c r="G105" t="s">
        <v>20</v>
      </c>
      <c r="H105">
        <v>1</v>
      </c>
      <c r="I105">
        <v>1</v>
      </c>
      <c r="J105">
        <v>0</v>
      </c>
      <c r="K105">
        <v>8</v>
      </c>
      <c r="L105">
        <v>8</v>
      </c>
      <c r="M105" s="48">
        <v>0.125</v>
      </c>
    </row>
    <row r="106" spans="1:13" x14ac:dyDescent="0.35">
      <c r="A106" t="s">
        <v>144</v>
      </c>
      <c r="B106" t="s">
        <v>36</v>
      </c>
      <c r="C106" t="s">
        <v>158</v>
      </c>
      <c r="D106" t="s">
        <v>146</v>
      </c>
      <c r="E106" t="s">
        <v>160</v>
      </c>
      <c r="F106" t="s">
        <v>16</v>
      </c>
      <c r="G106" t="s">
        <v>20</v>
      </c>
      <c r="H106">
        <v>6</v>
      </c>
      <c r="I106">
        <v>6</v>
      </c>
      <c r="J106">
        <v>0</v>
      </c>
      <c r="K106">
        <v>37</v>
      </c>
      <c r="L106">
        <v>34</v>
      </c>
      <c r="M106" s="48">
        <v>0.17647058823529399</v>
      </c>
    </row>
    <row r="107" spans="1:13" x14ac:dyDescent="0.35">
      <c r="A107" t="s">
        <v>144</v>
      </c>
      <c r="B107" t="s">
        <v>36</v>
      </c>
      <c r="C107" t="s">
        <v>151</v>
      </c>
      <c r="D107" t="s">
        <v>146</v>
      </c>
      <c r="E107" t="s">
        <v>160</v>
      </c>
      <c r="F107" t="s">
        <v>16</v>
      </c>
      <c r="G107" t="s">
        <v>20</v>
      </c>
      <c r="H107">
        <v>0</v>
      </c>
      <c r="I107">
        <v>0</v>
      </c>
      <c r="J107">
        <v>0</v>
      </c>
      <c r="K107">
        <v>9</v>
      </c>
      <c r="L107">
        <v>9</v>
      </c>
      <c r="M107" s="48">
        <v>0</v>
      </c>
    </row>
    <row r="108" spans="1:13" x14ac:dyDescent="0.35">
      <c r="A108" t="s">
        <v>144</v>
      </c>
      <c r="B108" t="s">
        <v>36</v>
      </c>
      <c r="C108" t="s">
        <v>153</v>
      </c>
      <c r="D108" t="s">
        <v>146</v>
      </c>
      <c r="E108" t="s">
        <v>160</v>
      </c>
      <c r="F108" t="s">
        <v>16</v>
      </c>
      <c r="G108" t="s">
        <v>20</v>
      </c>
      <c r="H108">
        <v>1</v>
      </c>
      <c r="I108">
        <v>1</v>
      </c>
      <c r="J108">
        <v>0</v>
      </c>
      <c r="K108">
        <v>5</v>
      </c>
      <c r="L108">
        <v>5</v>
      </c>
      <c r="M108" s="48">
        <v>0.2</v>
      </c>
    </row>
    <row r="109" spans="1:13" x14ac:dyDescent="0.35">
      <c r="A109" t="s">
        <v>144</v>
      </c>
      <c r="B109" t="s">
        <v>36</v>
      </c>
      <c r="C109" t="s">
        <v>145</v>
      </c>
      <c r="D109" t="s">
        <v>146</v>
      </c>
      <c r="E109" t="s">
        <v>161</v>
      </c>
      <c r="F109" t="s">
        <v>28</v>
      </c>
      <c r="G109" t="s">
        <v>29</v>
      </c>
      <c r="H109">
        <v>3</v>
      </c>
      <c r="I109">
        <v>3</v>
      </c>
      <c r="J109">
        <v>0</v>
      </c>
      <c r="K109">
        <v>24</v>
      </c>
      <c r="L109">
        <v>24</v>
      </c>
      <c r="M109" s="48">
        <v>0.125</v>
      </c>
    </row>
    <row r="110" spans="1:13" x14ac:dyDescent="0.35">
      <c r="A110" t="s">
        <v>144</v>
      </c>
      <c r="B110" t="s">
        <v>36</v>
      </c>
      <c r="C110" t="s">
        <v>157</v>
      </c>
      <c r="D110" t="s">
        <v>162</v>
      </c>
      <c r="E110" t="s">
        <v>163</v>
      </c>
      <c r="F110" t="s">
        <v>21</v>
      </c>
      <c r="G110" t="s">
        <v>164</v>
      </c>
      <c r="H110">
        <v>0</v>
      </c>
      <c r="I110">
        <v>0</v>
      </c>
      <c r="J110">
        <v>0</v>
      </c>
      <c r="K110">
        <v>11</v>
      </c>
      <c r="L110">
        <v>7</v>
      </c>
      <c r="M110" s="48">
        <v>0</v>
      </c>
    </row>
    <row r="111" spans="1:13" x14ac:dyDescent="0.35">
      <c r="A111" t="s">
        <v>144</v>
      </c>
      <c r="B111" t="s">
        <v>36</v>
      </c>
      <c r="C111" t="s">
        <v>152</v>
      </c>
      <c r="D111" t="s">
        <v>146</v>
      </c>
      <c r="E111" t="s">
        <v>165</v>
      </c>
      <c r="F111" t="s">
        <v>18</v>
      </c>
      <c r="G111" t="s">
        <v>23</v>
      </c>
      <c r="H111">
        <v>7</v>
      </c>
      <c r="I111">
        <v>7</v>
      </c>
      <c r="J111">
        <v>0</v>
      </c>
      <c r="K111">
        <v>56</v>
      </c>
      <c r="L111">
        <v>49</v>
      </c>
      <c r="M111" s="48">
        <v>0.14285714285714299</v>
      </c>
    </row>
    <row r="112" spans="1:13" x14ac:dyDescent="0.35">
      <c r="A112" t="s">
        <v>144</v>
      </c>
      <c r="B112" t="s">
        <v>36</v>
      </c>
      <c r="C112" t="s">
        <v>150</v>
      </c>
      <c r="D112" t="s">
        <v>146</v>
      </c>
      <c r="E112" t="s">
        <v>166</v>
      </c>
      <c r="F112" t="s">
        <v>18</v>
      </c>
      <c r="G112" t="s">
        <v>23</v>
      </c>
      <c r="H112">
        <v>1</v>
      </c>
      <c r="I112">
        <v>1</v>
      </c>
      <c r="J112">
        <v>0</v>
      </c>
      <c r="K112">
        <v>5</v>
      </c>
      <c r="L112">
        <v>5</v>
      </c>
      <c r="M112" s="48">
        <v>0.2</v>
      </c>
    </row>
    <row r="113" spans="1:13" x14ac:dyDescent="0.35">
      <c r="A113" t="s">
        <v>144</v>
      </c>
      <c r="B113" t="s">
        <v>36</v>
      </c>
      <c r="C113" t="s">
        <v>151</v>
      </c>
      <c r="D113" t="s">
        <v>146</v>
      </c>
      <c r="E113" t="s">
        <v>166</v>
      </c>
      <c r="F113" t="s">
        <v>18</v>
      </c>
      <c r="G113" t="s">
        <v>23</v>
      </c>
      <c r="H113">
        <v>1</v>
      </c>
      <c r="I113">
        <v>1</v>
      </c>
      <c r="J113">
        <v>0</v>
      </c>
      <c r="K113">
        <v>10</v>
      </c>
      <c r="L113">
        <v>10</v>
      </c>
      <c r="M113" s="48">
        <v>0.1</v>
      </c>
    </row>
    <row r="114" spans="1:13" x14ac:dyDescent="0.35">
      <c r="A114" t="s">
        <v>144</v>
      </c>
      <c r="B114" t="s">
        <v>36</v>
      </c>
      <c r="C114" t="s">
        <v>153</v>
      </c>
      <c r="D114" t="s">
        <v>146</v>
      </c>
      <c r="E114" t="s">
        <v>166</v>
      </c>
      <c r="F114" t="s">
        <v>18</v>
      </c>
      <c r="G114" t="s">
        <v>23</v>
      </c>
      <c r="H114">
        <v>0</v>
      </c>
      <c r="I114">
        <v>0</v>
      </c>
      <c r="J114">
        <v>0</v>
      </c>
      <c r="K114">
        <v>4</v>
      </c>
      <c r="L114">
        <v>4</v>
      </c>
      <c r="M114" s="48">
        <v>0</v>
      </c>
    </row>
    <row r="115" spans="1:13" x14ac:dyDescent="0.35">
      <c r="A115" t="s">
        <v>144</v>
      </c>
      <c r="B115" t="s">
        <v>36</v>
      </c>
      <c r="C115" t="s">
        <v>154</v>
      </c>
      <c r="D115" t="s">
        <v>146</v>
      </c>
      <c r="E115" t="s">
        <v>166</v>
      </c>
      <c r="F115" t="s">
        <v>18</v>
      </c>
      <c r="G115" t="s">
        <v>23</v>
      </c>
      <c r="H115">
        <v>1</v>
      </c>
      <c r="I115">
        <v>1</v>
      </c>
      <c r="J115">
        <v>0</v>
      </c>
      <c r="K115">
        <v>9</v>
      </c>
      <c r="L115">
        <v>9</v>
      </c>
      <c r="M115" s="48">
        <v>0.11111111111111099</v>
      </c>
    </row>
    <row r="116" spans="1:13" x14ac:dyDescent="0.35">
      <c r="A116" t="s">
        <v>144</v>
      </c>
      <c r="B116" t="s">
        <v>36</v>
      </c>
      <c r="C116" t="s">
        <v>148</v>
      </c>
      <c r="D116" t="s">
        <v>146</v>
      </c>
      <c r="E116" t="s">
        <v>166</v>
      </c>
      <c r="F116" t="s">
        <v>18</v>
      </c>
      <c r="G116" t="s">
        <v>23</v>
      </c>
      <c r="H116">
        <v>11</v>
      </c>
      <c r="I116">
        <v>10</v>
      </c>
      <c r="J116">
        <v>1</v>
      </c>
      <c r="K116">
        <v>159</v>
      </c>
      <c r="L116">
        <v>150</v>
      </c>
      <c r="M116" s="48">
        <v>7.3333333333333306E-2</v>
      </c>
    </row>
    <row r="117" spans="1:13" x14ac:dyDescent="0.35">
      <c r="A117" t="s">
        <v>144</v>
      </c>
      <c r="B117" t="s">
        <v>36</v>
      </c>
      <c r="C117" t="s">
        <v>155</v>
      </c>
      <c r="D117" t="s">
        <v>146</v>
      </c>
      <c r="E117" t="s">
        <v>166</v>
      </c>
      <c r="F117" t="s">
        <v>18</v>
      </c>
      <c r="G117" t="s">
        <v>23</v>
      </c>
      <c r="H117">
        <v>1</v>
      </c>
      <c r="I117">
        <v>1</v>
      </c>
      <c r="J117">
        <v>0</v>
      </c>
      <c r="K117">
        <v>9</v>
      </c>
      <c r="L117">
        <v>9</v>
      </c>
      <c r="M117" s="48">
        <v>0.11111111111111099</v>
      </c>
    </row>
    <row r="118" spans="1:13" x14ac:dyDescent="0.35">
      <c r="A118" t="s">
        <v>144</v>
      </c>
      <c r="B118" t="s">
        <v>36</v>
      </c>
      <c r="C118" t="s">
        <v>156</v>
      </c>
      <c r="D118" t="s">
        <v>146</v>
      </c>
      <c r="E118" t="s">
        <v>166</v>
      </c>
      <c r="F118" t="s">
        <v>18</v>
      </c>
      <c r="G118" t="s">
        <v>23</v>
      </c>
      <c r="H118">
        <v>2</v>
      </c>
      <c r="I118">
        <v>2</v>
      </c>
      <c r="J118">
        <v>0</v>
      </c>
      <c r="K118">
        <v>11</v>
      </c>
      <c r="L118">
        <v>11</v>
      </c>
      <c r="M118" s="48">
        <v>0.18181818181818199</v>
      </c>
    </row>
    <row r="119" spans="1:13" x14ac:dyDescent="0.35">
      <c r="A119" t="s">
        <v>144</v>
      </c>
      <c r="B119" t="s">
        <v>36</v>
      </c>
      <c r="C119" t="s">
        <v>157</v>
      </c>
      <c r="D119" t="s">
        <v>146</v>
      </c>
      <c r="E119" t="s">
        <v>166</v>
      </c>
      <c r="F119" t="s">
        <v>18</v>
      </c>
      <c r="G119" t="s">
        <v>23</v>
      </c>
      <c r="H119">
        <v>1</v>
      </c>
      <c r="I119">
        <v>1</v>
      </c>
      <c r="J119">
        <v>0</v>
      </c>
      <c r="K119">
        <v>14</v>
      </c>
      <c r="L119">
        <v>13</v>
      </c>
      <c r="M119" s="48">
        <v>7.69230769230769E-2</v>
      </c>
    </row>
    <row r="120" spans="1:13" x14ac:dyDescent="0.35">
      <c r="A120" t="s">
        <v>144</v>
      </c>
      <c r="B120" t="s">
        <v>36</v>
      </c>
      <c r="C120" t="s">
        <v>158</v>
      </c>
      <c r="D120" t="s">
        <v>146</v>
      </c>
      <c r="E120" t="s">
        <v>166</v>
      </c>
      <c r="F120" t="s">
        <v>18</v>
      </c>
      <c r="G120" t="s">
        <v>23</v>
      </c>
      <c r="H120">
        <v>1</v>
      </c>
      <c r="I120">
        <v>1</v>
      </c>
      <c r="J120">
        <v>0</v>
      </c>
      <c r="K120">
        <v>20</v>
      </c>
      <c r="L120">
        <v>20</v>
      </c>
      <c r="M120" s="48">
        <v>0.05</v>
      </c>
    </row>
    <row r="121" spans="1:13" x14ac:dyDescent="0.35">
      <c r="A121" t="s">
        <v>144</v>
      </c>
      <c r="B121" t="s">
        <v>36</v>
      </c>
      <c r="C121" t="s">
        <v>148</v>
      </c>
      <c r="D121" t="s">
        <v>146</v>
      </c>
      <c r="E121" t="s">
        <v>167</v>
      </c>
      <c r="F121" t="s">
        <v>21</v>
      </c>
      <c r="G121" t="s">
        <v>164</v>
      </c>
      <c r="H121">
        <v>16</v>
      </c>
      <c r="I121">
        <v>16</v>
      </c>
      <c r="J121">
        <v>0</v>
      </c>
      <c r="K121">
        <v>306</v>
      </c>
      <c r="L121">
        <v>284</v>
      </c>
      <c r="M121" s="48">
        <v>5.63380281690141E-2</v>
      </c>
    </row>
    <row r="122" spans="1:13" x14ac:dyDescent="0.35">
      <c r="A122" t="s">
        <v>144</v>
      </c>
      <c r="B122" t="s">
        <v>36</v>
      </c>
      <c r="C122" t="s">
        <v>150</v>
      </c>
      <c r="D122" t="s">
        <v>146</v>
      </c>
      <c r="E122" t="s">
        <v>168</v>
      </c>
      <c r="F122" t="s">
        <v>16</v>
      </c>
      <c r="G122" t="s">
        <v>17</v>
      </c>
      <c r="H122">
        <v>2</v>
      </c>
      <c r="I122">
        <v>2</v>
      </c>
      <c r="J122">
        <v>0</v>
      </c>
      <c r="K122">
        <v>12</v>
      </c>
      <c r="L122">
        <v>10</v>
      </c>
      <c r="M122" s="48">
        <v>0.2</v>
      </c>
    </row>
    <row r="123" spans="1:13" x14ac:dyDescent="0.35">
      <c r="A123" t="s">
        <v>144</v>
      </c>
      <c r="B123" t="s">
        <v>36</v>
      </c>
      <c r="C123" t="s">
        <v>151</v>
      </c>
      <c r="D123" t="s">
        <v>146</v>
      </c>
      <c r="E123" t="s">
        <v>168</v>
      </c>
      <c r="F123" t="s">
        <v>16</v>
      </c>
      <c r="G123" t="s">
        <v>17</v>
      </c>
      <c r="H123">
        <v>0</v>
      </c>
      <c r="I123">
        <v>0</v>
      </c>
      <c r="J123">
        <v>0</v>
      </c>
      <c r="K123">
        <v>13</v>
      </c>
      <c r="L123">
        <v>11</v>
      </c>
      <c r="M123" s="48">
        <v>0</v>
      </c>
    </row>
    <row r="124" spans="1:13" x14ac:dyDescent="0.35">
      <c r="A124" t="s">
        <v>144</v>
      </c>
      <c r="B124" t="s">
        <v>36</v>
      </c>
      <c r="C124" t="s">
        <v>152</v>
      </c>
      <c r="D124" t="s">
        <v>146</v>
      </c>
      <c r="E124" t="s">
        <v>168</v>
      </c>
      <c r="F124" t="s">
        <v>16</v>
      </c>
      <c r="G124" t="s">
        <v>17</v>
      </c>
      <c r="H124">
        <v>12</v>
      </c>
      <c r="I124">
        <v>12</v>
      </c>
      <c r="J124">
        <v>0</v>
      </c>
      <c r="K124">
        <v>73</v>
      </c>
      <c r="L124">
        <v>65</v>
      </c>
      <c r="M124" s="48">
        <v>0.18461538461538499</v>
      </c>
    </row>
    <row r="125" spans="1:13" x14ac:dyDescent="0.35">
      <c r="A125" t="s">
        <v>144</v>
      </c>
      <c r="B125" t="s">
        <v>36</v>
      </c>
      <c r="C125" t="s">
        <v>153</v>
      </c>
      <c r="D125" t="s">
        <v>146</v>
      </c>
      <c r="E125" t="s">
        <v>168</v>
      </c>
      <c r="F125" t="s">
        <v>16</v>
      </c>
      <c r="G125" t="s">
        <v>17</v>
      </c>
      <c r="H125">
        <v>1</v>
      </c>
      <c r="I125">
        <v>1</v>
      </c>
      <c r="J125">
        <v>0</v>
      </c>
      <c r="K125">
        <v>6</v>
      </c>
      <c r="L125">
        <v>5</v>
      </c>
      <c r="M125" s="48">
        <v>0.2</v>
      </c>
    </row>
    <row r="126" spans="1:13" x14ac:dyDescent="0.35">
      <c r="A126" t="s">
        <v>144</v>
      </c>
      <c r="B126" t="s">
        <v>36</v>
      </c>
      <c r="C126" t="s">
        <v>154</v>
      </c>
      <c r="D126" t="s">
        <v>146</v>
      </c>
      <c r="E126" t="s">
        <v>168</v>
      </c>
      <c r="F126" t="s">
        <v>16</v>
      </c>
      <c r="G126" t="s">
        <v>17</v>
      </c>
      <c r="H126">
        <v>0</v>
      </c>
      <c r="I126">
        <v>0</v>
      </c>
      <c r="J126">
        <v>0</v>
      </c>
      <c r="K126">
        <v>22</v>
      </c>
      <c r="L126">
        <v>19</v>
      </c>
      <c r="M126" s="48">
        <v>0</v>
      </c>
    </row>
    <row r="127" spans="1:13" x14ac:dyDescent="0.35">
      <c r="A127" t="s">
        <v>144</v>
      </c>
      <c r="B127" t="s">
        <v>36</v>
      </c>
      <c r="C127" t="s">
        <v>148</v>
      </c>
      <c r="D127" t="s">
        <v>146</v>
      </c>
      <c r="E127" t="s">
        <v>168</v>
      </c>
      <c r="F127" t="s">
        <v>16</v>
      </c>
      <c r="G127" t="s">
        <v>17</v>
      </c>
      <c r="H127">
        <v>3</v>
      </c>
      <c r="I127">
        <v>3</v>
      </c>
      <c r="J127">
        <v>0</v>
      </c>
      <c r="K127">
        <v>120</v>
      </c>
      <c r="L127">
        <v>105</v>
      </c>
      <c r="M127" s="48">
        <v>2.8571428571428598E-2</v>
      </c>
    </row>
    <row r="128" spans="1:13" x14ac:dyDescent="0.35">
      <c r="A128" t="s">
        <v>144</v>
      </c>
      <c r="B128" t="s">
        <v>36</v>
      </c>
      <c r="C128" t="s">
        <v>155</v>
      </c>
      <c r="D128" t="s">
        <v>146</v>
      </c>
      <c r="E128" t="s">
        <v>168</v>
      </c>
      <c r="F128" t="s">
        <v>16</v>
      </c>
      <c r="G128" t="s">
        <v>17</v>
      </c>
      <c r="H128">
        <v>1</v>
      </c>
      <c r="I128">
        <v>1</v>
      </c>
      <c r="J128">
        <v>0</v>
      </c>
      <c r="K128">
        <v>10</v>
      </c>
      <c r="L128">
        <v>9</v>
      </c>
      <c r="M128" s="48">
        <v>0.11111111111111099</v>
      </c>
    </row>
    <row r="129" spans="1:13" x14ac:dyDescent="0.35">
      <c r="A129" t="s">
        <v>144</v>
      </c>
      <c r="B129" t="s">
        <v>36</v>
      </c>
      <c r="C129" t="s">
        <v>156</v>
      </c>
      <c r="D129" t="s">
        <v>146</v>
      </c>
      <c r="E129" t="s">
        <v>168</v>
      </c>
      <c r="F129" t="s">
        <v>16</v>
      </c>
      <c r="G129" t="s">
        <v>17</v>
      </c>
      <c r="H129">
        <v>2</v>
      </c>
      <c r="I129">
        <v>2</v>
      </c>
      <c r="J129">
        <v>0</v>
      </c>
      <c r="K129">
        <v>9</v>
      </c>
      <c r="L129">
        <v>9</v>
      </c>
      <c r="M129" s="48">
        <v>0.22222222222222199</v>
      </c>
    </row>
    <row r="130" spans="1:13" x14ac:dyDescent="0.35">
      <c r="A130" t="s">
        <v>144</v>
      </c>
      <c r="B130" t="s">
        <v>36</v>
      </c>
      <c r="C130" t="s">
        <v>157</v>
      </c>
      <c r="D130" t="s">
        <v>146</v>
      </c>
      <c r="E130" t="s">
        <v>168</v>
      </c>
      <c r="F130" t="s">
        <v>16</v>
      </c>
      <c r="G130" t="s">
        <v>17</v>
      </c>
      <c r="H130">
        <v>1</v>
      </c>
      <c r="I130">
        <v>1</v>
      </c>
      <c r="J130">
        <v>0</v>
      </c>
      <c r="K130">
        <v>10</v>
      </c>
      <c r="L130">
        <v>10</v>
      </c>
      <c r="M130" s="48">
        <v>0.1</v>
      </c>
    </row>
    <row r="131" spans="1:13" x14ac:dyDescent="0.35">
      <c r="A131" t="s">
        <v>144</v>
      </c>
      <c r="B131" t="s">
        <v>36</v>
      </c>
      <c r="C131" t="s">
        <v>158</v>
      </c>
      <c r="D131" t="s">
        <v>146</v>
      </c>
      <c r="E131" t="s">
        <v>168</v>
      </c>
      <c r="F131" t="s">
        <v>16</v>
      </c>
      <c r="G131" t="s">
        <v>17</v>
      </c>
      <c r="H131">
        <v>1</v>
      </c>
      <c r="I131">
        <v>1</v>
      </c>
      <c r="J131">
        <v>0</v>
      </c>
      <c r="K131">
        <v>32</v>
      </c>
      <c r="L131">
        <v>32</v>
      </c>
      <c r="M131" s="48">
        <v>3.125E-2</v>
      </c>
    </row>
    <row r="132" spans="1:13" x14ac:dyDescent="0.35">
      <c r="A132" t="s">
        <v>144</v>
      </c>
      <c r="B132" t="s">
        <v>36</v>
      </c>
      <c r="C132" t="s">
        <v>152</v>
      </c>
      <c r="D132" t="s">
        <v>146</v>
      </c>
      <c r="E132" t="s">
        <v>169</v>
      </c>
      <c r="F132" t="s">
        <v>23</v>
      </c>
      <c r="G132" t="s">
        <v>18</v>
      </c>
      <c r="H132">
        <v>6</v>
      </c>
      <c r="I132">
        <v>6</v>
      </c>
      <c r="J132">
        <v>0</v>
      </c>
      <c r="K132">
        <v>71</v>
      </c>
      <c r="L132">
        <v>60</v>
      </c>
      <c r="M132" s="48">
        <v>0.1</v>
      </c>
    </row>
    <row r="133" spans="1:13" x14ac:dyDescent="0.35">
      <c r="A133" t="s">
        <v>144</v>
      </c>
      <c r="B133" t="s">
        <v>36</v>
      </c>
      <c r="C133" t="s">
        <v>148</v>
      </c>
      <c r="D133" t="s">
        <v>146</v>
      </c>
      <c r="E133" t="s">
        <v>169</v>
      </c>
      <c r="F133" t="s">
        <v>23</v>
      </c>
      <c r="G133" t="s">
        <v>18</v>
      </c>
      <c r="H133">
        <v>10</v>
      </c>
      <c r="I133">
        <v>10</v>
      </c>
      <c r="J133">
        <v>0</v>
      </c>
      <c r="K133">
        <v>187</v>
      </c>
      <c r="L133">
        <v>180</v>
      </c>
      <c r="M133" s="48">
        <v>5.5555555555555601E-2</v>
      </c>
    </row>
    <row r="134" spans="1:13" x14ac:dyDescent="0.35">
      <c r="A134" t="s">
        <v>144</v>
      </c>
      <c r="B134" t="s">
        <v>36</v>
      </c>
      <c r="C134" t="s">
        <v>145</v>
      </c>
      <c r="D134" t="s">
        <v>146</v>
      </c>
      <c r="E134" t="s">
        <v>170</v>
      </c>
      <c r="F134" t="s">
        <v>28</v>
      </c>
      <c r="G134" t="s">
        <v>29</v>
      </c>
      <c r="H134">
        <v>3</v>
      </c>
      <c r="I134">
        <v>3</v>
      </c>
      <c r="J134">
        <v>0</v>
      </c>
      <c r="K134">
        <v>25</v>
      </c>
      <c r="L134">
        <v>25</v>
      </c>
      <c r="M134" s="48">
        <v>0.12</v>
      </c>
    </row>
    <row r="135" spans="1:13" x14ac:dyDescent="0.35">
      <c r="A135" t="s">
        <v>144</v>
      </c>
      <c r="B135" t="s">
        <v>36</v>
      </c>
      <c r="C135" t="s">
        <v>150</v>
      </c>
      <c r="D135" t="s">
        <v>146</v>
      </c>
      <c r="E135" t="s">
        <v>170</v>
      </c>
      <c r="F135" t="s">
        <v>16</v>
      </c>
      <c r="G135" t="s">
        <v>17</v>
      </c>
      <c r="H135">
        <v>1</v>
      </c>
      <c r="I135">
        <v>1</v>
      </c>
      <c r="J135">
        <v>0</v>
      </c>
      <c r="K135">
        <v>15</v>
      </c>
      <c r="L135">
        <v>15</v>
      </c>
      <c r="M135" s="48">
        <v>6.6666666666666693E-2</v>
      </c>
    </row>
    <row r="136" spans="1:13" x14ac:dyDescent="0.35">
      <c r="A136" t="s">
        <v>144</v>
      </c>
      <c r="B136" t="s">
        <v>36</v>
      </c>
      <c r="C136" t="s">
        <v>151</v>
      </c>
      <c r="D136" t="s">
        <v>146</v>
      </c>
      <c r="E136" t="s">
        <v>170</v>
      </c>
      <c r="F136" t="s">
        <v>16</v>
      </c>
      <c r="G136" t="s">
        <v>17</v>
      </c>
      <c r="H136">
        <v>0</v>
      </c>
      <c r="I136">
        <v>0</v>
      </c>
      <c r="J136">
        <v>0</v>
      </c>
      <c r="K136">
        <v>12</v>
      </c>
      <c r="L136">
        <v>12</v>
      </c>
      <c r="M136" s="48">
        <v>0</v>
      </c>
    </row>
    <row r="137" spans="1:13" x14ac:dyDescent="0.35">
      <c r="A137" t="s">
        <v>144</v>
      </c>
      <c r="B137" t="s">
        <v>36</v>
      </c>
      <c r="C137" t="s">
        <v>152</v>
      </c>
      <c r="D137" t="s">
        <v>146</v>
      </c>
      <c r="E137" t="s">
        <v>170</v>
      </c>
      <c r="F137" t="s">
        <v>16</v>
      </c>
      <c r="G137" t="s">
        <v>17</v>
      </c>
      <c r="H137">
        <v>12</v>
      </c>
      <c r="I137">
        <v>12</v>
      </c>
      <c r="J137">
        <v>0</v>
      </c>
      <c r="K137">
        <v>69</v>
      </c>
      <c r="L137">
        <v>63</v>
      </c>
      <c r="M137" s="48">
        <v>0.19047619047618999</v>
      </c>
    </row>
    <row r="138" spans="1:13" x14ac:dyDescent="0.35">
      <c r="A138" t="s">
        <v>144</v>
      </c>
      <c r="B138" t="s">
        <v>36</v>
      </c>
      <c r="C138" t="s">
        <v>153</v>
      </c>
      <c r="D138" t="s">
        <v>146</v>
      </c>
      <c r="E138" t="s">
        <v>170</v>
      </c>
      <c r="F138" t="s">
        <v>16</v>
      </c>
      <c r="G138" t="s">
        <v>17</v>
      </c>
      <c r="H138">
        <v>0</v>
      </c>
      <c r="I138">
        <v>0</v>
      </c>
      <c r="J138">
        <v>0</v>
      </c>
      <c r="K138">
        <v>4</v>
      </c>
      <c r="L138">
        <v>4</v>
      </c>
      <c r="M138" s="48">
        <v>0</v>
      </c>
    </row>
    <row r="139" spans="1:13" x14ac:dyDescent="0.35">
      <c r="A139" t="s">
        <v>144</v>
      </c>
      <c r="B139" t="s">
        <v>36</v>
      </c>
      <c r="C139" t="s">
        <v>154</v>
      </c>
      <c r="D139" t="s">
        <v>146</v>
      </c>
      <c r="E139" t="s">
        <v>170</v>
      </c>
      <c r="F139" t="s">
        <v>16</v>
      </c>
      <c r="G139" t="s">
        <v>17</v>
      </c>
      <c r="H139">
        <v>1</v>
      </c>
      <c r="I139">
        <v>1</v>
      </c>
      <c r="J139">
        <v>0</v>
      </c>
      <c r="K139">
        <v>17</v>
      </c>
      <c r="L139">
        <v>17</v>
      </c>
      <c r="M139" s="48">
        <v>5.8823529411764698E-2</v>
      </c>
    </row>
    <row r="140" spans="1:13" x14ac:dyDescent="0.35">
      <c r="A140" t="s">
        <v>144</v>
      </c>
      <c r="B140" t="s">
        <v>36</v>
      </c>
      <c r="C140" t="s">
        <v>148</v>
      </c>
      <c r="D140" t="s">
        <v>146</v>
      </c>
      <c r="E140" t="s">
        <v>170</v>
      </c>
      <c r="F140" t="s">
        <v>16</v>
      </c>
      <c r="G140" t="s">
        <v>17</v>
      </c>
      <c r="H140">
        <v>7</v>
      </c>
      <c r="I140">
        <v>7</v>
      </c>
      <c r="J140">
        <v>0</v>
      </c>
      <c r="K140">
        <v>146</v>
      </c>
      <c r="L140">
        <v>135</v>
      </c>
      <c r="M140" s="48">
        <v>5.1851851851851899E-2</v>
      </c>
    </row>
    <row r="141" spans="1:13" x14ac:dyDescent="0.35">
      <c r="A141" t="s">
        <v>144</v>
      </c>
      <c r="B141" t="s">
        <v>36</v>
      </c>
      <c r="C141" t="s">
        <v>155</v>
      </c>
      <c r="D141" t="s">
        <v>146</v>
      </c>
      <c r="E141" t="s">
        <v>170</v>
      </c>
      <c r="F141" t="s">
        <v>16</v>
      </c>
      <c r="G141" t="s">
        <v>17</v>
      </c>
      <c r="H141">
        <v>1</v>
      </c>
      <c r="I141">
        <v>1</v>
      </c>
      <c r="J141">
        <v>0</v>
      </c>
      <c r="K141">
        <v>13</v>
      </c>
      <c r="L141">
        <v>13</v>
      </c>
      <c r="M141" s="48">
        <v>7.69230769230769E-2</v>
      </c>
    </row>
    <row r="142" spans="1:13" x14ac:dyDescent="0.35">
      <c r="A142" t="s">
        <v>144</v>
      </c>
      <c r="B142" t="s">
        <v>36</v>
      </c>
      <c r="C142" t="s">
        <v>156</v>
      </c>
      <c r="D142" t="s">
        <v>146</v>
      </c>
      <c r="E142" t="s">
        <v>170</v>
      </c>
      <c r="F142" t="s">
        <v>16</v>
      </c>
      <c r="G142" t="s">
        <v>17</v>
      </c>
      <c r="H142">
        <v>1</v>
      </c>
      <c r="I142">
        <v>1</v>
      </c>
      <c r="J142">
        <v>0</v>
      </c>
      <c r="K142">
        <v>12</v>
      </c>
      <c r="L142">
        <v>12</v>
      </c>
      <c r="M142" s="48">
        <v>8.3333333333333301E-2</v>
      </c>
    </row>
    <row r="143" spans="1:13" x14ac:dyDescent="0.35">
      <c r="A143" t="s">
        <v>144</v>
      </c>
      <c r="B143" t="s">
        <v>36</v>
      </c>
      <c r="C143" t="s">
        <v>157</v>
      </c>
      <c r="D143" t="s">
        <v>146</v>
      </c>
      <c r="E143" t="s">
        <v>170</v>
      </c>
      <c r="F143" t="s">
        <v>16</v>
      </c>
      <c r="G143" t="s">
        <v>17</v>
      </c>
      <c r="H143">
        <v>1</v>
      </c>
      <c r="I143">
        <v>1</v>
      </c>
      <c r="J143">
        <v>0</v>
      </c>
      <c r="K143">
        <v>17</v>
      </c>
      <c r="L143">
        <v>15</v>
      </c>
      <c r="M143" s="48">
        <v>6.6666666666666693E-2</v>
      </c>
    </row>
    <row r="144" spans="1:13" x14ac:dyDescent="0.35">
      <c r="A144" t="s">
        <v>144</v>
      </c>
      <c r="B144" t="s">
        <v>36</v>
      </c>
      <c r="C144" t="s">
        <v>158</v>
      </c>
      <c r="D144" t="s">
        <v>146</v>
      </c>
      <c r="E144" t="s">
        <v>170</v>
      </c>
      <c r="F144" t="s">
        <v>16</v>
      </c>
      <c r="G144" t="s">
        <v>17</v>
      </c>
      <c r="H144">
        <v>5</v>
      </c>
      <c r="I144">
        <v>5</v>
      </c>
      <c r="J144">
        <v>0</v>
      </c>
      <c r="K144">
        <v>28</v>
      </c>
      <c r="L144">
        <v>28</v>
      </c>
      <c r="M144" s="48">
        <v>0.17857142857142899</v>
      </c>
    </row>
    <row r="145" spans="1:13" x14ac:dyDescent="0.35">
      <c r="A145" t="s">
        <v>144</v>
      </c>
      <c r="B145" t="s">
        <v>36</v>
      </c>
      <c r="C145" t="s">
        <v>145</v>
      </c>
      <c r="D145" t="s">
        <v>146</v>
      </c>
      <c r="E145" t="s">
        <v>172</v>
      </c>
      <c r="F145" t="s">
        <v>16</v>
      </c>
      <c r="G145" t="s">
        <v>173</v>
      </c>
      <c r="H145">
        <v>5</v>
      </c>
      <c r="I145">
        <v>4</v>
      </c>
      <c r="J145">
        <v>0</v>
      </c>
      <c r="K145">
        <v>35</v>
      </c>
      <c r="L145">
        <v>34</v>
      </c>
      <c r="M145" s="48">
        <v>0.14705882352941199</v>
      </c>
    </row>
    <row r="146" spans="1:13" x14ac:dyDescent="0.35">
      <c r="A146" t="s">
        <v>144</v>
      </c>
      <c r="B146" t="s">
        <v>36</v>
      </c>
      <c r="C146" t="s">
        <v>158</v>
      </c>
      <c r="D146" t="s">
        <v>162</v>
      </c>
      <c r="E146" t="s">
        <v>171</v>
      </c>
      <c r="F146" t="s">
        <v>21</v>
      </c>
      <c r="G146" t="s">
        <v>164</v>
      </c>
      <c r="H146">
        <v>7</v>
      </c>
      <c r="I146">
        <v>7</v>
      </c>
      <c r="J146">
        <v>0</v>
      </c>
      <c r="K146">
        <v>48</v>
      </c>
      <c r="L146">
        <v>41</v>
      </c>
      <c r="M146" s="48">
        <v>0.17073170731707299</v>
      </c>
    </row>
    <row r="147" spans="1:13" x14ac:dyDescent="0.35">
      <c r="A147" t="s">
        <v>174</v>
      </c>
      <c r="B147" t="s">
        <v>13</v>
      </c>
      <c r="C147" t="s">
        <v>145</v>
      </c>
      <c r="D147" t="s">
        <v>162</v>
      </c>
      <c r="E147" t="s">
        <v>175</v>
      </c>
      <c r="F147" t="s">
        <v>18</v>
      </c>
      <c r="G147" t="s">
        <v>38</v>
      </c>
      <c r="H147">
        <v>4</v>
      </c>
      <c r="I147">
        <v>0</v>
      </c>
      <c r="J147">
        <v>0</v>
      </c>
      <c r="K147">
        <v>47</v>
      </c>
      <c r="L147">
        <v>38</v>
      </c>
      <c r="M147" s="48">
        <v>0.105263157894737</v>
      </c>
    </row>
    <row r="148" spans="1:13" x14ac:dyDescent="0.35">
      <c r="A148" t="s">
        <v>174</v>
      </c>
      <c r="B148" t="s">
        <v>13</v>
      </c>
      <c r="C148" t="s">
        <v>155</v>
      </c>
      <c r="D148" t="s">
        <v>146</v>
      </c>
      <c r="E148" t="s">
        <v>176</v>
      </c>
      <c r="F148" t="s">
        <v>16</v>
      </c>
      <c r="G148" t="s">
        <v>17</v>
      </c>
      <c r="H148">
        <v>2</v>
      </c>
      <c r="I148">
        <v>0</v>
      </c>
      <c r="J148">
        <v>1</v>
      </c>
      <c r="K148">
        <v>119</v>
      </c>
      <c r="L148">
        <v>118</v>
      </c>
      <c r="M148" s="48">
        <v>1.6949152542372899E-2</v>
      </c>
    </row>
    <row r="149" spans="1:13" x14ac:dyDescent="0.35">
      <c r="A149" t="s">
        <v>174</v>
      </c>
      <c r="B149" t="s">
        <v>13</v>
      </c>
      <c r="C149" t="s">
        <v>148</v>
      </c>
      <c r="D149" t="s">
        <v>146</v>
      </c>
      <c r="E149" t="s">
        <v>176</v>
      </c>
      <c r="F149" t="s">
        <v>16</v>
      </c>
      <c r="G149" t="s">
        <v>17</v>
      </c>
      <c r="H149">
        <v>8</v>
      </c>
      <c r="I149">
        <v>0</v>
      </c>
      <c r="J149">
        <v>3</v>
      </c>
      <c r="K149">
        <v>261</v>
      </c>
      <c r="L149">
        <v>255</v>
      </c>
      <c r="M149" s="48">
        <v>3.1372549019607801E-2</v>
      </c>
    </row>
    <row r="150" spans="1:13" x14ac:dyDescent="0.35">
      <c r="A150" t="s">
        <v>174</v>
      </c>
      <c r="B150" t="s">
        <v>13</v>
      </c>
      <c r="C150" t="s">
        <v>151</v>
      </c>
      <c r="D150" t="s">
        <v>146</v>
      </c>
      <c r="E150" t="s">
        <v>176</v>
      </c>
      <c r="F150" t="s">
        <v>16</v>
      </c>
      <c r="G150" t="s">
        <v>17</v>
      </c>
      <c r="H150">
        <v>55537</v>
      </c>
      <c r="I150">
        <v>2</v>
      </c>
      <c r="J150">
        <v>19</v>
      </c>
      <c r="K150">
        <v>533898</v>
      </c>
      <c r="L150">
        <v>526835</v>
      </c>
      <c r="M150" s="48">
        <v>0.105416306813329</v>
      </c>
    </row>
    <row r="151" spans="1:13" x14ac:dyDescent="0.35">
      <c r="A151" t="s">
        <v>174</v>
      </c>
      <c r="B151" t="s">
        <v>13</v>
      </c>
      <c r="C151" t="s">
        <v>158</v>
      </c>
      <c r="D151" t="s">
        <v>146</v>
      </c>
      <c r="E151" t="s">
        <v>176</v>
      </c>
      <c r="F151" t="s">
        <v>16</v>
      </c>
      <c r="G151" t="s">
        <v>17</v>
      </c>
      <c r="H151">
        <v>11</v>
      </c>
      <c r="I151">
        <v>0</v>
      </c>
      <c r="J151">
        <v>3</v>
      </c>
      <c r="K151">
        <v>1066</v>
      </c>
      <c r="L151">
        <v>1058</v>
      </c>
      <c r="M151" s="48">
        <v>1.0396975425330799E-2</v>
      </c>
    </row>
    <row r="152" spans="1:13" x14ac:dyDescent="0.35">
      <c r="A152" t="s">
        <v>174</v>
      </c>
      <c r="B152" t="s">
        <v>13</v>
      </c>
      <c r="C152" t="s">
        <v>152</v>
      </c>
      <c r="D152" t="s">
        <v>146</v>
      </c>
      <c r="E152" t="s">
        <v>176</v>
      </c>
      <c r="F152" t="s">
        <v>16</v>
      </c>
      <c r="G152" t="s">
        <v>17</v>
      </c>
      <c r="H152">
        <v>5367</v>
      </c>
      <c r="I152">
        <v>0</v>
      </c>
      <c r="J152">
        <v>54</v>
      </c>
      <c r="K152">
        <v>690710</v>
      </c>
      <c r="L152">
        <v>677694</v>
      </c>
      <c r="M152" s="48">
        <v>7.9195034927268104E-3</v>
      </c>
    </row>
    <row r="153" spans="1:13" x14ac:dyDescent="0.35">
      <c r="A153" t="s">
        <v>174</v>
      </c>
      <c r="B153" t="s">
        <v>13</v>
      </c>
      <c r="C153" t="s">
        <v>150</v>
      </c>
      <c r="D153" t="s">
        <v>146</v>
      </c>
      <c r="E153" t="s">
        <v>176</v>
      </c>
      <c r="F153" t="s">
        <v>16</v>
      </c>
      <c r="G153" t="s">
        <v>17</v>
      </c>
      <c r="H153">
        <v>0</v>
      </c>
      <c r="I153">
        <v>0</v>
      </c>
      <c r="J153">
        <v>0</v>
      </c>
      <c r="K153">
        <v>96</v>
      </c>
      <c r="L153">
        <v>94</v>
      </c>
      <c r="M153" s="48">
        <v>0</v>
      </c>
    </row>
    <row r="154" spans="1:13" x14ac:dyDescent="0.35">
      <c r="A154" t="s">
        <v>174</v>
      </c>
      <c r="B154" t="s">
        <v>13</v>
      </c>
      <c r="C154" t="s">
        <v>157</v>
      </c>
      <c r="D154" t="s">
        <v>146</v>
      </c>
      <c r="E154" t="s">
        <v>176</v>
      </c>
      <c r="F154" t="s">
        <v>16</v>
      </c>
      <c r="G154" t="s">
        <v>17</v>
      </c>
      <c r="H154">
        <v>5</v>
      </c>
      <c r="I154">
        <v>0</v>
      </c>
      <c r="J154">
        <v>0</v>
      </c>
      <c r="K154">
        <v>688</v>
      </c>
      <c r="L154">
        <v>634</v>
      </c>
      <c r="M154" s="48">
        <v>7.88643533123028E-3</v>
      </c>
    </row>
    <row r="155" spans="1:13" x14ac:dyDescent="0.35">
      <c r="A155" t="s">
        <v>174</v>
      </c>
      <c r="B155" t="s">
        <v>13</v>
      </c>
      <c r="C155" t="s">
        <v>154</v>
      </c>
      <c r="D155" t="s">
        <v>146</v>
      </c>
      <c r="E155" t="s">
        <v>176</v>
      </c>
      <c r="F155" t="s">
        <v>16</v>
      </c>
      <c r="G155" t="s">
        <v>17</v>
      </c>
      <c r="H155">
        <v>23984</v>
      </c>
      <c r="I155">
        <v>0</v>
      </c>
      <c r="J155">
        <v>3</v>
      </c>
      <c r="K155">
        <v>264871</v>
      </c>
      <c r="L155">
        <v>264871</v>
      </c>
      <c r="M155" s="48">
        <v>9.0549739307058896E-2</v>
      </c>
    </row>
    <row r="156" spans="1:13" x14ac:dyDescent="0.35">
      <c r="A156" t="s">
        <v>174</v>
      </c>
      <c r="B156" t="s">
        <v>13</v>
      </c>
      <c r="C156" t="s">
        <v>153</v>
      </c>
      <c r="D156" t="s">
        <v>146</v>
      </c>
      <c r="E156" t="s">
        <v>176</v>
      </c>
      <c r="F156" t="s">
        <v>16</v>
      </c>
      <c r="G156" t="s">
        <v>17</v>
      </c>
      <c r="H156">
        <v>109838</v>
      </c>
      <c r="I156">
        <v>0</v>
      </c>
      <c r="J156">
        <v>14</v>
      </c>
      <c r="K156">
        <v>555266</v>
      </c>
      <c r="L156">
        <v>555266</v>
      </c>
      <c r="M156" s="48">
        <v>0.19781149935346301</v>
      </c>
    </row>
    <row r="157" spans="1:13" x14ac:dyDescent="0.35">
      <c r="A157" t="s">
        <v>174</v>
      </c>
      <c r="B157" t="s">
        <v>13</v>
      </c>
      <c r="C157" t="s">
        <v>156</v>
      </c>
      <c r="D157" t="s">
        <v>146</v>
      </c>
      <c r="E157" t="s">
        <v>176</v>
      </c>
      <c r="F157" t="s">
        <v>16</v>
      </c>
      <c r="G157" t="s">
        <v>17</v>
      </c>
      <c r="H157">
        <v>6100</v>
      </c>
      <c r="I157">
        <v>0</v>
      </c>
      <c r="J157">
        <v>9</v>
      </c>
      <c r="K157">
        <v>141434</v>
      </c>
      <c r="L157">
        <v>141434</v>
      </c>
      <c r="M157" s="48">
        <v>4.3129657649504403E-2</v>
      </c>
    </row>
    <row r="158" spans="1:13" x14ac:dyDescent="0.35">
      <c r="A158" t="s">
        <v>174</v>
      </c>
      <c r="B158" t="s">
        <v>13</v>
      </c>
      <c r="C158" t="s">
        <v>149</v>
      </c>
      <c r="D158" t="s">
        <v>146</v>
      </c>
      <c r="E158" t="s">
        <v>176</v>
      </c>
      <c r="F158" t="s">
        <v>16</v>
      </c>
      <c r="G158" t="s">
        <v>17</v>
      </c>
      <c r="H158">
        <v>0</v>
      </c>
      <c r="I158">
        <v>0</v>
      </c>
      <c r="J158">
        <v>0</v>
      </c>
      <c r="K158">
        <v>213</v>
      </c>
      <c r="L158">
        <v>206</v>
      </c>
      <c r="M158" s="48">
        <v>0</v>
      </c>
    </row>
    <row r="159" spans="1:13" x14ac:dyDescent="0.35">
      <c r="A159" t="s">
        <v>174</v>
      </c>
      <c r="B159" t="s">
        <v>13</v>
      </c>
      <c r="C159" t="s">
        <v>156</v>
      </c>
      <c r="D159" t="s">
        <v>146</v>
      </c>
      <c r="E159" t="s">
        <v>177</v>
      </c>
      <c r="F159" t="s">
        <v>19</v>
      </c>
      <c r="G159" t="s">
        <v>18</v>
      </c>
      <c r="H159">
        <v>8</v>
      </c>
      <c r="I159">
        <v>0</v>
      </c>
      <c r="J159">
        <v>2</v>
      </c>
      <c r="K159">
        <v>61</v>
      </c>
      <c r="L159">
        <v>53</v>
      </c>
      <c r="M159" s="48">
        <v>0.15094339622641501</v>
      </c>
    </row>
    <row r="160" spans="1:13" x14ac:dyDescent="0.35">
      <c r="A160" t="s">
        <v>174</v>
      </c>
      <c r="B160" t="s">
        <v>13</v>
      </c>
      <c r="C160" t="s">
        <v>151</v>
      </c>
      <c r="D160" t="s">
        <v>146</v>
      </c>
      <c r="E160" t="s">
        <v>177</v>
      </c>
      <c r="F160" t="s">
        <v>19</v>
      </c>
      <c r="G160" t="s">
        <v>18</v>
      </c>
      <c r="H160">
        <v>3</v>
      </c>
      <c r="I160">
        <v>0</v>
      </c>
      <c r="J160">
        <v>0</v>
      </c>
      <c r="K160">
        <v>63</v>
      </c>
      <c r="L160">
        <v>60</v>
      </c>
      <c r="M160" s="48">
        <v>0.05</v>
      </c>
    </row>
    <row r="161" spans="1:13" x14ac:dyDescent="0.35">
      <c r="A161" t="s">
        <v>174</v>
      </c>
      <c r="B161" t="s">
        <v>13</v>
      </c>
      <c r="C161" t="s">
        <v>148</v>
      </c>
      <c r="D161" t="s">
        <v>146</v>
      </c>
      <c r="E161" t="s">
        <v>177</v>
      </c>
      <c r="F161" t="s">
        <v>19</v>
      </c>
      <c r="G161" t="s">
        <v>18</v>
      </c>
      <c r="H161">
        <v>7</v>
      </c>
      <c r="I161">
        <v>0</v>
      </c>
      <c r="J161">
        <v>2</v>
      </c>
      <c r="K161">
        <v>396</v>
      </c>
      <c r="L161">
        <v>392</v>
      </c>
      <c r="M161" s="48">
        <v>1.7857142857142901E-2</v>
      </c>
    </row>
    <row r="162" spans="1:13" x14ac:dyDescent="0.35">
      <c r="A162" t="s">
        <v>174</v>
      </c>
      <c r="B162" t="s">
        <v>13</v>
      </c>
      <c r="C162" t="s">
        <v>153</v>
      </c>
      <c r="D162" t="s">
        <v>146</v>
      </c>
      <c r="E162" t="s">
        <v>177</v>
      </c>
      <c r="F162" t="s">
        <v>19</v>
      </c>
      <c r="G162" t="s">
        <v>18</v>
      </c>
      <c r="H162">
        <v>1</v>
      </c>
      <c r="I162">
        <v>0</v>
      </c>
      <c r="J162">
        <v>0</v>
      </c>
      <c r="K162">
        <v>68</v>
      </c>
      <c r="L162">
        <v>66</v>
      </c>
      <c r="M162" s="48">
        <v>1.5151515151515201E-2</v>
      </c>
    </row>
    <row r="163" spans="1:13" x14ac:dyDescent="0.35">
      <c r="A163" t="s">
        <v>174</v>
      </c>
      <c r="B163" t="s">
        <v>13</v>
      </c>
      <c r="C163" t="s">
        <v>158</v>
      </c>
      <c r="D163" t="s">
        <v>146</v>
      </c>
      <c r="E163" t="s">
        <v>177</v>
      </c>
      <c r="F163" t="s">
        <v>19</v>
      </c>
      <c r="G163" t="s">
        <v>18</v>
      </c>
      <c r="H163">
        <v>6</v>
      </c>
      <c r="I163">
        <v>0</v>
      </c>
      <c r="J163">
        <v>3</v>
      </c>
      <c r="K163">
        <v>1280</v>
      </c>
      <c r="L163">
        <v>1267</v>
      </c>
      <c r="M163" s="48">
        <v>4.7355958958168898E-3</v>
      </c>
    </row>
    <row r="164" spans="1:13" x14ac:dyDescent="0.35">
      <c r="A164" t="s">
        <v>174</v>
      </c>
      <c r="B164" t="s">
        <v>13</v>
      </c>
      <c r="C164" t="s">
        <v>152</v>
      </c>
      <c r="D164" t="s">
        <v>146</v>
      </c>
      <c r="E164" t="s">
        <v>177</v>
      </c>
      <c r="F164" t="s">
        <v>19</v>
      </c>
      <c r="G164" t="s">
        <v>18</v>
      </c>
      <c r="H164">
        <v>10</v>
      </c>
      <c r="I164">
        <v>0</v>
      </c>
      <c r="J164">
        <v>6</v>
      </c>
      <c r="K164">
        <v>38</v>
      </c>
      <c r="L164">
        <v>38</v>
      </c>
      <c r="M164" s="48">
        <v>0.26315789473684198</v>
      </c>
    </row>
    <row r="165" spans="1:13" x14ac:dyDescent="0.35">
      <c r="A165" t="s">
        <v>174</v>
      </c>
      <c r="B165" t="s">
        <v>13</v>
      </c>
      <c r="C165" t="s">
        <v>149</v>
      </c>
      <c r="D165" t="s">
        <v>146</v>
      </c>
      <c r="E165" t="s">
        <v>177</v>
      </c>
      <c r="F165" t="s">
        <v>19</v>
      </c>
      <c r="G165" t="s">
        <v>18</v>
      </c>
      <c r="H165">
        <v>0</v>
      </c>
      <c r="I165">
        <v>0</v>
      </c>
      <c r="J165">
        <v>0</v>
      </c>
      <c r="K165">
        <v>220</v>
      </c>
      <c r="L165">
        <v>213</v>
      </c>
      <c r="M165" s="48">
        <v>0</v>
      </c>
    </row>
    <row r="166" spans="1:13" x14ac:dyDescent="0.35">
      <c r="A166" t="s">
        <v>174</v>
      </c>
      <c r="B166" t="s">
        <v>13</v>
      </c>
      <c r="C166" t="s">
        <v>150</v>
      </c>
      <c r="D166" t="s">
        <v>146</v>
      </c>
      <c r="E166" t="s">
        <v>177</v>
      </c>
      <c r="F166" t="s">
        <v>19</v>
      </c>
      <c r="G166" t="s">
        <v>18</v>
      </c>
      <c r="H166">
        <v>0</v>
      </c>
      <c r="I166">
        <v>0</v>
      </c>
      <c r="J166">
        <v>0</v>
      </c>
      <c r="K166">
        <v>89</v>
      </c>
      <c r="L166">
        <v>86</v>
      </c>
      <c r="M166" s="48">
        <v>0</v>
      </c>
    </row>
    <row r="167" spans="1:13" x14ac:dyDescent="0.35">
      <c r="A167" t="s">
        <v>174</v>
      </c>
      <c r="B167" t="s">
        <v>13</v>
      </c>
      <c r="C167" t="s">
        <v>157</v>
      </c>
      <c r="D167" t="s">
        <v>146</v>
      </c>
      <c r="E167" t="s">
        <v>177</v>
      </c>
      <c r="F167" t="s">
        <v>19</v>
      </c>
      <c r="G167" t="s">
        <v>18</v>
      </c>
      <c r="H167">
        <v>4</v>
      </c>
      <c r="I167">
        <v>0</v>
      </c>
      <c r="J167">
        <v>0</v>
      </c>
      <c r="K167">
        <v>766</v>
      </c>
      <c r="L167">
        <v>728</v>
      </c>
      <c r="M167" s="48">
        <v>5.4945054945054897E-3</v>
      </c>
    </row>
    <row r="168" spans="1:13" x14ac:dyDescent="0.35">
      <c r="A168" t="s">
        <v>174</v>
      </c>
      <c r="B168" t="s">
        <v>13</v>
      </c>
      <c r="C168" t="s">
        <v>155</v>
      </c>
      <c r="D168" t="s">
        <v>146</v>
      </c>
      <c r="E168" t="s">
        <v>177</v>
      </c>
      <c r="F168" t="s">
        <v>19</v>
      </c>
      <c r="G168" t="s">
        <v>18</v>
      </c>
      <c r="H168">
        <v>2</v>
      </c>
      <c r="I168">
        <v>0</v>
      </c>
      <c r="J168">
        <v>1</v>
      </c>
      <c r="K168">
        <v>138</v>
      </c>
      <c r="L168">
        <v>137</v>
      </c>
      <c r="M168" s="48">
        <v>1.4598540145985399E-2</v>
      </c>
    </row>
    <row r="169" spans="1:13" x14ac:dyDescent="0.35">
      <c r="A169" t="s">
        <v>174</v>
      </c>
      <c r="B169" t="s">
        <v>13</v>
      </c>
      <c r="C169" t="s">
        <v>154</v>
      </c>
      <c r="D169" t="s">
        <v>146</v>
      </c>
      <c r="E169" t="s">
        <v>177</v>
      </c>
      <c r="F169" t="s">
        <v>19</v>
      </c>
      <c r="G169" t="s">
        <v>18</v>
      </c>
      <c r="H169">
        <v>0</v>
      </c>
      <c r="I169">
        <v>0</v>
      </c>
      <c r="J169">
        <v>0</v>
      </c>
      <c r="K169">
        <v>46</v>
      </c>
      <c r="L169">
        <v>44</v>
      </c>
      <c r="M169" s="48">
        <v>0</v>
      </c>
    </row>
    <row r="170" spans="1:13" x14ac:dyDescent="0.35">
      <c r="A170" t="s">
        <v>174</v>
      </c>
      <c r="B170" t="s">
        <v>13</v>
      </c>
      <c r="C170" t="s">
        <v>145</v>
      </c>
      <c r="D170" t="s">
        <v>162</v>
      </c>
      <c r="E170" t="s">
        <v>177</v>
      </c>
      <c r="F170" t="s">
        <v>28</v>
      </c>
      <c r="G170" t="s">
        <v>29</v>
      </c>
      <c r="H170">
        <v>2</v>
      </c>
      <c r="I170">
        <v>0</v>
      </c>
      <c r="J170">
        <v>0</v>
      </c>
      <c r="K170">
        <v>26</v>
      </c>
      <c r="L170">
        <v>23</v>
      </c>
      <c r="M170" s="48">
        <v>8.6956521739130405E-2</v>
      </c>
    </row>
    <row r="171" spans="1:13" x14ac:dyDescent="0.35">
      <c r="A171" t="s">
        <v>174</v>
      </c>
      <c r="B171" t="s">
        <v>13</v>
      </c>
      <c r="C171" t="s">
        <v>145</v>
      </c>
      <c r="D171" t="s">
        <v>146</v>
      </c>
      <c r="E171" t="s">
        <v>178</v>
      </c>
      <c r="F171" t="s">
        <v>28</v>
      </c>
      <c r="G171" t="s">
        <v>29</v>
      </c>
      <c r="H171">
        <v>2</v>
      </c>
      <c r="I171">
        <v>0</v>
      </c>
      <c r="J171">
        <v>0</v>
      </c>
      <c r="K171">
        <v>16</v>
      </c>
      <c r="L171">
        <v>10</v>
      </c>
      <c r="M171" s="48">
        <v>0.2</v>
      </c>
    </row>
    <row r="172" spans="1:13" x14ac:dyDescent="0.35">
      <c r="A172" t="s">
        <v>174</v>
      </c>
      <c r="B172" t="s">
        <v>13</v>
      </c>
      <c r="C172" t="s">
        <v>158</v>
      </c>
      <c r="D172" t="s">
        <v>146</v>
      </c>
      <c r="E172" t="s">
        <v>178</v>
      </c>
      <c r="F172" t="s">
        <v>16</v>
      </c>
      <c r="G172" t="s">
        <v>20</v>
      </c>
      <c r="H172">
        <v>9</v>
      </c>
      <c r="I172">
        <v>0</v>
      </c>
      <c r="J172">
        <v>1</v>
      </c>
      <c r="K172">
        <v>1122</v>
      </c>
      <c r="L172">
        <v>1122</v>
      </c>
      <c r="M172" s="48">
        <v>8.0213903743315499E-3</v>
      </c>
    </row>
    <row r="173" spans="1:13" x14ac:dyDescent="0.35">
      <c r="A173" t="s">
        <v>174</v>
      </c>
      <c r="B173" t="s">
        <v>13</v>
      </c>
      <c r="C173" t="s">
        <v>157</v>
      </c>
      <c r="D173" t="s">
        <v>146</v>
      </c>
      <c r="E173" t="s">
        <v>178</v>
      </c>
      <c r="F173" t="s">
        <v>16</v>
      </c>
      <c r="G173" t="s">
        <v>20</v>
      </c>
      <c r="H173">
        <v>5</v>
      </c>
      <c r="I173">
        <v>0</v>
      </c>
      <c r="J173">
        <v>0</v>
      </c>
      <c r="K173">
        <v>884</v>
      </c>
      <c r="L173">
        <v>855</v>
      </c>
      <c r="M173" s="48">
        <v>5.8479532163742704E-3</v>
      </c>
    </row>
    <row r="174" spans="1:13" x14ac:dyDescent="0.35">
      <c r="A174" t="s">
        <v>174</v>
      </c>
      <c r="B174" t="s">
        <v>13</v>
      </c>
      <c r="C174" t="s">
        <v>156</v>
      </c>
      <c r="D174" t="s">
        <v>146</v>
      </c>
      <c r="E174" t="s">
        <v>178</v>
      </c>
      <c r="F174" t="s">
        <v>16</v>
      </c>
      <c r="G174" t="s">
        <v>20</v>
      </c>
      <c r="H174">
        <v>7</v>
      </c>
      <c r="I174">
        <v>2</v>
      </c>
      <c r="J174">
        <v>2</v>
      </c>
      <c r="K174">
        <v>49</v>
      </c>
      <c r="L174">
        <v>46</v>
      </c>
      <c r="M174" s="48">
        <v>0.15217391304347799</v>
      </c>
    </row>
    <row r="175" spans="1:13" x14ac:dyDescent="0.35">
      <c r="A175" t="s">
        <v>174</v>
      </c>
      <c r="B175" t="s">
        <v>13</v>
      </c>
      <c r="C175" t="s">
        <v>155</v>
      </c>
      <c r="D175" t="s">
        <v>146</v>
      </c>
      <c r="E175" t="s">
        <v>178</v>
      </c>
      <c r="F175" t="s">
        <v>16</v>
      </c>
      <c r="G175" t="s">
        <v>20</v>
      </c>
      <c r="H175">
        <v>5</v>
      </c>
      <c r="I175">
        <v>0</v>
      </c>
      <c r="J175">
        <v>2</v>
      </c>
      <c r="K175">
        <v>129</v>
      </c>
      <c r="L175">
        <v>128</v>
      </c>
      <c r="M175" s="48">
        <v>3.90625E-2</v>
      </c>
    </row>
    <row r="176" spans="1:13" x14ac:dyDescent="0.35">
      <c r="A176" t="s">
        <v>174</v>
      </c>
      <c r="B176" t="s">
        <v>13</v>
      </c>
      <c r="C176" t="s">
        <v>148</v>
      </c>
      <c r="D176" t="s">
        <v>146</v>
      </c>
      <c r="E176" t="s">
        <v>178</v>
      </c>
      <c r="F176" t="s">
        <v>16</v>
      </c>
      <c r="G176" t="s">
        <v>20</v>
      </c>
      <c r="H176">
        <v>5</v>
      </c>
      <c r="I176">
        <v>0</v>
      </c>
      <c r="J176">
        <v>2</v>
      </c>
      <c r="K176">
        <v>260</v>
      </c>
      <c r="L176">
        <v>258</v>
      </c>
      <c r="M176" s="48">
        <v>1.9379844961240299E-2</v>
      </c>
    </row>
    <row r="177" spans="1:13" x14ac:dyDescent="0.35">
      <c r="A177" t="s">
        <v>174</v>
      </c>
      <c r="B177" t="s">
        <v>13</v>
      </c>
      <c r="C177" t="s">
        <v>154</v>
      </c>
      <c r="D177" t="s">
        <v>146</v>
      </c>
      <c r="E177" t="s">
        <v>178</v>
      </c>
      <c r="F177" t="s">
        <v>16</v>
      </c>
      <c r="G177" t="s">
        <v>20</v>
      </c>
      <c r="H177">
        <v>1</v>
      </c>
      <c r="I177">
        <v>0</v>
      </c>
      <c r="J177">
        <v>0</v>
      </c>
      <c r="K177">
        <v>23</v>
      </c>
      <c r="L177">
        <v>21</v>
      </c>
      <c r="M177" s="48">
        <v>4.7619047619047603E-2</v>
      </c>
    </row>
    <row r="178" spans="1:13" x14ac:dyDescent="0.35">
      <c r="A178" t="s">
        <v>174</v>
      </c>
      <c r="B178" t="s">
        <v>13</v>
      </c>
      <c r="C178" t="s">
        <v>153</v>
      </c>
      <c r="D178" t="s">
        <v>146</v>
      </c>
      <c r="E178" t="s">
        <v>178</v>
      </c>
      <c r="F178" t="s">
        <v>16</v>
      </c>
      <c r="G178" t="s">
        <v>20</v>
      </c>
      <c r="H178">
        <v>1</v>
      </c>
      <c r="I178">
        <v>0</v>
      </c>
      <c r="J178">
        <v>0</v>
      </c>
      <c r="K178">
        <v>34</v>
      </c>
      <c r="L178">
        <v>34</v>
      </c>
      <c r="M178" s="48">
        <v>2.9411764705882401E-2</v>
      </c>
    </row>
    <row r="179" spans="1:13" x14ac:dyDescent="0.35">
      <c r="A179" t="s">
        <v>174</v>
      </c>
      <c r="B179" t="s">
        <v>13</v>
      </c>
      <c r="C179" t="s">
        <v>152</v>
      </c>
      <c r="D179" t="s">
        <v>146</v>
      </c>
      <c r="E179" t="s">
        <v>178</v>
      </c>
      <c r="F179" t="s">
        <v>16</v>
      </c>
      <c r="G179" t="s">
        <v>20</v>
      </c>
      <c r="H179">
        <v>9</v>
      </c>
      <c r="I179">
        <v>0</v>
      </c>
      <c r="J179">
        <v>5</v>
      </c>
      <c r="K179">
        <v>31</v>
      </c>
      <c r="L179">
        <v>28</v>
      </c>
      <c r="M179" s="48">
        <v>0.32142857142857101</v>
      </c>
    </row>
    <row r="180" spans="1:13" x14ac:dyDescent="0.35">
      <c r="A180" t="s">
        <v>174</v>
      </c>
      <c r="B180" t="s">
        <v>13</v>
      </c>
      <c r="C180" t="s">
        <v>151</v>
      </c>
      <c r="D180" t="s">
        <v>146</v>
      </c>
      <c r="E180" t="s">
        <v>178</v>
      </c>
      <c r="F180" t="s">
        <v>16</v>
      </c>
      <c r="G180" t="s">
        <v>20</v>
      </c>
      <c r="H180">
        <v>3</v>
      </c>
      <c r="I180">
        <v>0</v>
      </c>
      <c r="J180">
        <v>1</v>
      </c>
      <c r="K180">
        <v>41</v>
      </c>
      <c r="L180">
        <v>39</v>
      </c>
      <c r="M180" s="48">
        <v>7.69230769230769E-2</v>
      </c>
    </row>
    <row r="181" spans="1:13" x14ac:dyDescent="0.35">
      <c r="A181" t="s">
        <v>174</v>
      </c>
      <c r="B181" t="s">
        <v>13</v>
      </c>
      <c r="C181" t="s">
        <v>150</v>
      </c>
      <c r="D181" t="s">
        <v>146</v>
      </c>
      <c r="E181" t="s">
        <v>178</v>
      </c>
      <c r="F181" t="s">
        <v>16</v>
      </c>
      <c r="G181" t="s">
        <v>20</v>
      </c>
      <c r="H181">
        <v>0</v>
      </c>
      <c r="I181">
        <v>0</v>
      </c>
      <c r="J181">
        <v>0</v>
      </c>
      <c r="K181">
        <v>107</v>
      </c>
      <c r="L181">
        <v>104</v>
      </c>
      <c r="M181" s="48">
        <v>0</v>
      </c>
    </row>
    <row r="182" spans="1:13" x14ac:dyDescent="0.35">
      <c r="A182" t="s">
        <v>174</v>
      </c>
      <c r="B182" t="s">
        <v>13</v>
      </c>
      <c r="C182" t="s">
        <v>149</v>
      </c>
      <c r="D182" t="s">
        <v>146</v>
      </c>
      <c r="E182" t="s">
        <v>178</v>
      </c>
      <c r="F182" t="s">
        <v>16</v>
      </c>
      <c r="G182" t="s">
        <v>20</v>
      </c>
      <c r="H182">
        <v>1</v>
      </c>
      <c r="I182">
        <v>0</v>
      </c>
      <c r="J182">
        <v>0</v>
      </c>
      <c r="K182">
        <v>236</v>
      </c>
      <c r="L182">
        <v>230</v>
      </c>
      <c r="M182" s="48">
        <v>4.3478260869565201E-3</v>
      </c>
    </row>
    <row r="183" spans="1:13" x14ac:dyDescent="0.35">
      <c r="A183" t="s">
        <v>174</v>
      </c>
      <c r="B183" t="s">
        <v>13</v>
      </c>
      <c r="C183" t="s">
        <v>158</v>
      </c>
      <c r="D183" t="s">
        <v>146</v>
      </c>
      <c r="E183" t="s">
        <v>179</v>
      </c>
      <c r="F183" t="s">
        <v>16</v>
      </c>
      <c r="G183" t="s">
        <v>17</v>
      </c>
      <c r="H183">
        <v>12</v>
      </c>
      <c r="I183">
        <v>0</v>
      </c>
      <c r="J183">
        <v>4</v>
      </c>
      <c r="K183">
        <v>1046</v>
      </c>
      <c r="L183">
        <v>1026</v>
      </c>
      <c r="M183" s="48">
        <v>1.1695906432748499E-2</v>
      </c>
    </row>
    <row r="184" spans="1:13" x14ac:dyDescent="0.35">
      <c r="A184" t="s">
        <v>174</v>
      </c>
      <c r="B184" t="s">
        <v>13</v>
      </c>
      <c r="C184" t="s">
        <v>157</v>
      </c>
      <c r="D184" t="s">
        <v>146</v>
      </c>
      <c r="E184" t="s">
        <v>179</v>
      </c>
      <c r="F184" t="s">
        <v>16</v>
      </c>
      <c r="G184" t="s">
        <v>17</v>
      </c>
      <c r="H184">
        <v>3</v>
      </c>
      <c r="I184">
        <v>0</v>
      </c>
      <c r="J184">
        <v>0</v>
      </c>
      <c r="K184">
        <v>566</v>
      </c>
      <c r="L184">
        <v>550</v>
      </c>
      <c r="M184" s="48">
        <v>5.4545454545454498E-3</v>
      </c>
    </row>
    <row r="185" spans="1:13" x14ac:dyDescent="0.35">
      <c r="A185" t="s">
        <v>174</v>
      </c>
      <c r="B185" t="s">
        <v>13</v>
      </c>
      <c r="C185" t="s">
        <v>156</v>
      </c>
      <c r="D185" t="s">
        <v>146</v>
      </c>
      <c r="E185" t="s">
        <v>179</v>
      </c>
      <c r="F185" t="s">
        <v>16</v>
      </c>
      <c r="G185" t="s">
        <v>17</v>
      </c>
      <c r="H185">
        <v>4</v>
      </c>
      <c r="I185">
        <v>0</v>
      </c>
      <c r="J185">
        <v>2</v>
      </c>
      <c r="K185">
        <v>52</v>
      </c>
      <c r="L185">
        <v>50</v>
      </c>
      <c r="M185" s="48">
        <v>0.08</v>
      </c>
    </row>
    <row r="186" spans="1:13" x14ac:dyDescent="0.35">
      <c r="A186" t="s">
        <v>174</v>
      </c>
      <c r="B186" t="s">
        <v>13</v>
      </c>
      <c r="C186" t="s">
        <v>155</v>
      </c>
      <c r="D186" t="s">
        <v>146</v>
      </c>
      <c r="E186" t="s">
        <v>179</v>
      </c>
      <c r="F186" t="s">
        <v>16</v>
      </c>
      <c r="G186" t="s">
        <v>17</v>
      </c>
      <c r="H186">
        <v>0</v>
      </c>
      <c r="I186">
        <v>0</v>
      </c>
      <c r="J186">
        <v>0</v>
      </c>
      <c r="K186">
        <v>95</v>
      </c>
      <c r="L186">
        <v>95</v>
      </c>
      <c r="M186" s="48">
        <v>0</v>
      </c>
    </row>
    <row r="187" spans="1:13" x14ac:dyDescent="0.35">
      <c r="A187" t="s">
        <v>174</v>
      </c>
      <c r="B187" t="s">
        <v>13</v>
      </c>
      <c r="C187" t="s">
        <v>148</v>
      </c>
      <c r="D187" t="s">
        <v>146</v>
      </c>
      <c r="E187" t="s">
        <v>179</v>
      </c>
      <c r="F187" t="s">
        <v>16</v>
      </c>
      <c r="G187" t="s">
        <v>17</v>
      </c>
      <c r="H187">
        <v>6</v>
      </c>
      <c r="I187">
        <v>0</v>
      </c>
      <c r="J187">
        <v>3</v>
      </c>
      <c r="K187">
        <v>228</v>
      </c>
      <c r="L187">
        <v>221</v>
      </c>
      <c r="M187" s="48">
        <v>2.7149321266968299E-2</v>
      </c>
    </row>
    <row r="188" spans="1:13" x14ac:dyDescent="0.35">
      <c r="A188" t="s">
        <v>174</v>
      </c>
      <c r="B188" t="s">
        <v>13</v>
      </c>
      <c r="C188" t="s">
        <v>154</v>
      </c>
      <c r="D188" t="s">
        <v>146</v>
      </c>
      <c r="E188" t="s">
        <v>179</v>
      </c>
      <c r="F188" t="s">
        <v>16</v>
      </c>
      <c r="G188" t="s">
        <v>17</v>
      </c>
      <c r="H188">
        <v>0</v>
      </c>
      <c r="I188">
        <v>0</v>
      </c>
      <c r="J188">
        <v>0</v>
      </c>
      <c r="K188">
        <v>18</v>
      </c>
      <c r="L188">
        <v>17</v>
      </c>
      <c r="M188" s="48">
        <v>0</v>
      </c>
    </row>
    <row r="189" spans="1:13" x14ac:dyDescent="0.35">
      <c r="A189" t="s">
        <v>174</v>
      </c>
      <c r="B189" t="s">
        <v>13</v>
      </c>
      <c r="C189" t="s">
        <v>153</v>
      </c>
      <c r="D189" t="s">
        <v>146</v>
      </c>
      <c r="E189" t="s">
        <v>179</v>
      </c>
      <c r="F189" t="s">
        <v>16</v>
      </c>
      <c r="G189" t="s">
        <v>17</v>
      </c>
      <c r="H189">
        <v>1</v>
      </c>
      <c r="I189">
        <v>0</v>
      </c>
      <c r="J189">
        <v>0</v>
      </c>
      <c r="K189">
        <v>18</v>
      </c>
      <c r="L189">
        <v>18</v>
      </c>
      <c r="M189" s="48">
        <v>5.5555555555555601E-2</v>
      </c>
    </row>
    <row r="190" spans="1:13" x14ac:dyDescent="0.35">
      <c r="A190" t="s">
        <v>174</v>
      </c>
      <c r="B190" t="s">
        <v>13</v>
      </c>
      <c r="C190" t="s">
        <v>152</v>
      </c>
      <c r="D190" t="s">
        <v>146</v>
      </c>
      <c r="E190" t="s">
        <v>179</v>
      </c>
      <c r="F190" t="s">
        <v>16</v>
      </c>
      <c r="G190" t="s">
        <v>17</v>
      </c>
      <c r="H190">
        <v>6</v>
      </c>
      <c r="I190">
        <v>0</v>
      </c>
      <c r="J190">
        <v>4</v>
      </c>
      <c r="K190">
        <v>23</v>
      </c>
      <c r="L190">
        <v>20</v>
      </c>
      <c r="M190" s="48">
        <v>0.3</v>
      </c>
    </row>
    <row r="191" spans="1:13" x14ac:dyDescent="0.35">
      <c r="A191" t="s">
        <v>174</v>
      </c>
      <c r="B191" t="s">
        <v>13</v>
      </c>
      <c r="C191" t="s">
        <v>151</v>
      </c>
      <c r="D191" t="s">
        <v>146</v>
      </c>
      <c r="E191" t="s">
        <v>179</v>
      </c>
      <c r="F191" t="s">
        <v>16</v>
      </c>
      <c r="G191" t="s">
        <v>17</v>
      </c>
      <c r="H191">
        <v>1</v>
      </c>
      <c r="I191">
        <v>0</v>
      </c>
      <c r="J191">
        <v>0</v>
      </c>
      <c r="K191">
        <v>52</v>
      </c>
      <c r="L191">
        <v>50</v>
      </c>
      <c r="M191" s="48">
        <v>0.02</v>
      </c>
    </row>
    <row r="192" spans="1:13" x14ac:dyDescent="0.35">
      <c r="A192" t="s">
        <v>174</v>
      </c>
      <c r="B192" t="s">
        <v>13</v>
      </c>
      <c r="C192" t="s">
        <v>150</v>
      </c>
      <c r="D192" t="s">
        <v>146</v>
      </c>
      <c r="E192" t="s">
        <v>179</v>
      </c>
      <c r="F192" t="s">
        <v>16</v>
      </c>
      <c r="G192" t="s">
        <v>17</v>
      </c>
      <c r="H192">
        <v>0</v>
      </c>
      <c r="I192">
        <v>0</v>
      </c>
      <c r="J192">
        <v>0</v>
      </c>
      <c r="K192">
        <v>79</v>
      </c>
      <c r="L192">
        <v>77</v>
      </c>
      <c r="M192" s="48">
        <v>0</v>
      </c>
    </row>
    <row r="193" spans="1:13" x14ac:dyDescent="0.35">
      <c r="A193" t="s">
        <v>174</v>
      </c>
      <c r="B193" t="s">
        <v>13</v>
      </c>
      <c r="C193" t="s">
        <v>149</v>
      </c>
      <c r="D193" t="s">
        <v>146</v>
      </c>
      <c r="E193" t="s">
        <v>179</v>
      </c>
      <c r="F193" t="s">
        <v>16</v>
      </c>
      <c r="G193" t="s">
        <v>17</v>
      </c>
      <c r="H193">
        <v>1</v>
      </c>
      <c r="I193">
        <v>0</v>
      </c>
      <c r="J193">
        <v>0</v>
      </c>
      <c r="K193">
        <v>187</v>
      </c>
      <c r="L193">
        <v>184</v>
      </c>
      <c r="M193" s="48">
        <v>5.4347826086956503E-3</v>
      </c>
    </row>
    <row r="194" spans="1:13" x14ac:dyDescent="0.35">
      <c r="A194" t="s">
        <v>174</v>
      </c>
      <c r="B194" t="s">
        <v>13</v>
      </c>
      <c r="C194" t="s">
        <v>145</v>
      </c>
      <c r="D194" t="s">
        <v>162</v>
      </c>
      <c r="E194" t="s">
        <v>179</v>
      </c>
      <c r="F194" t="s">
        <v>28</v>
      </c>
      <c r="G194" t="s">
        <v>29</v>
      </c>
      <c r="H194">
        <v>2</v>
      </c>
      <c r="I194">
        <v>0</v>
      </c>
      <c r="J194">
        <v>0</v>
      </c>
      <c r="K194">
        <v>16</v>
      </c>
      <c r="L194">
        <v>14</v>
      </c>
      <c r="M194" s="48">
        <v>0.14285714285714299</v>
      </c>
    </row>
    <row r="195" spans="1:13" x14ac:dyDescent="0.35">
      <c r="A195" t="s">
        <v>174</v>
      </c>
      <c r="B195" t="s">
        <v>13</v>
      </c>
      <c r="C195" t="s">
        <v>157</v>
      </c>
      <c r="D195" t="s">
        <v>146</v>
      </c>
      <c r="E195" t="s">
        <v>180</v>
      </c>
      <c r="F195" t="s">
        <v>21</v>
      </c>
      <c r="G195" t="s">
        <v>181</v>
      </c>
      <c r="H195">
        <v>3169</v>
      </c>
      <c r="I195">
        <v>0</v>
      </c>
      <c r="J195">
        <v>6</v>
      </c>
      <c r="K195">
        <v>144240</v>
      </c>
      <c r="L195">
        <v>65394</v>
      </c>
      <c r="M195" s="48">
        <v>4.8460103373398199E-2</v>
      </c>
    </row>
    <row r="196" spans="1:13" x14ac:dyDescent="0.35">
      <c r="A196" t="s">
        <v>174</v>
      </c>
      <c r="B196" t="s">
        <v>13</v>
      </c>
      <c r="C196" t="s">
        <v>149</v>
      </c>
      <c r="D196" t="s">
        <v>146</v>
      </c>
      <c r="E196" t="s">
        <v>180</v>
      </c>
      <c r="F196" t="s">
        <v>21</v>
      </c>
      <c r="G196" t="s">
        <v>181</v>
      </c>
      <c r="H196">
        <v>4993</v>
      </c>
      <c r="I196">
        <v>0</v>
      </c>
      <c r="J196">
        <v>17</v>
      </c>
      <c r="K196">
        <v>265318</v>
      </c>
      <c r="L196">
        <v>93950</v>
      </c>
      <c r="M196" s="48">
        <v>5.3145290047897802E-2</v>
      </c>
    </row>
    <row r="197" spans="1:13" x14ac:dyDescent="0.35">
      <c r="A197" t="s">
        <v>174</v>
      </c>
      <c r="B197" t="s">
        <v>13</v>
      </c>
      <c r="C197" t="s">
        <v>149</v>
      </c>
      <c r="D197" t="s">
        <v>146</v>
      </c>
      <c r="E197" t="s">
        <v>182</v>
      </c>
      <c r="F197" t="s">
        <v>183</v>
      </c>
      <c r="G197" t="s">
        <v>18</v>
      </c>
      <c r="H197">
        <v>2</v>
      </c>
      <c r="I197">
        <v>0</v>
      </c>
      <c r="J197">
        <v>0</v>
      </c>
      <c r="K197">
        <v>264</v>
      </c>
      <c r="L197">
        <v>259</v>
      </c>
      <c r="M197" s="48">
        <v>7.7220077220077196E-3</v>
      </c>
    </row>
    <row r="198" spans="1:13" x14ac:dyDescent="0.35">
      <c r="A198" t="s">
        <v>174</v>
      </c>
      <c r="B198" t="s">
        <v>13</v>
      </c>
      <c r="C198" t="s">
        <v>150</v>
      </c>
      <c r="D198" t="s">
        <v>146</v>
      </c>
      <c r="E198" t="s">
        <v>182</v>
      </c>
      <c r="F198" t="s">
        <v>183</v>
      </c>
      <c r="G198" t="s">
        <v>18</v>
      </c>
      <c r="H198">
        <v>0</v>
      </c>
      <c r="I198">
        <v>0</v>
      </c>
      <c r="J198">
        <v>0</v>
      </c>
      <c r="K198">
        <v>96</v>
      </c>
      <c r="L198">
        <v>93</v>
      </c>
      <c r="M198" s="48">
        <v>0</v>
      </c>
    </row>
    <row r="199" spans="1:13" x14ac:dyDescent="0.35">
      <c r="A199" t="s">
        <v>174</v>
      </c>
      <c r="B199" t="s">
        <v>13</v>
      </c>
      <c r="C199" t="s">
        <v>156</v>
      </c>
      <c r="D199" t="s">
        <v>146</v>
      </c>
      <c r="E199" t="s">
        <v>182</v>
      </c>
      <c r="F199" t="s">
        <v>183</v>
      </c>
      <c r="G199" t="s">
        <v>18</v>
      </c>
      <c r="H199">
        <v>4</v>
      </c>
      <c r="I199">
        <v>0</v>
      </c>
      <c r="J199">
        <v>3</v>
      </c>
      <c r="K199">
        <v>74</v>
      </c>
      <c r="L199">
        <v>65</v>
      </c>
      <c r="M199" s="48">
        <v>6.15384615384615E-2</v>
      </c>
    </row>
    <row r="200" spans="1:13" x14ac:dyDescent="0.35">
      <c r="A200" t="s">
        <v>174</v>
      </c>
      <c r="B200" t="s">
        <v>13</v>
      </c>
      <c r="C200" t="s">
        <v>148</v>
      </c>
      <c r="D200" t="s">
        <v>146</v>
      </c>
      <c r="E200" t="s">
        <v>182</v>
      </c>
      <c r="F200" t="s">
        <v>183</v>
      </c>
      <c r="G200" t="s">
        <v>18</v>
      </c>
      <c r="H200">
        <v>3</v>
      </c>
      <c r="I200">
        <v>0</v>
      </c>
      <c r="J200">
        <v>1</v>
      </c>
      <c r="K200">
        <v>249</v>
      </c>
      <c r="L200">
        <v>244</v>
      </c>
      <c r="M200" s="48">
        <v>1.2295081967213101E-2</v>
      </c>
    </row>
    <row r="201" spans="1:13" x14ac:dyDescent="0.35">
      <c r="A201" t="s">
        <v>174</v>
      </c>
      <c r="B201" t="s">
        <v>13</v>
      </c>
      <c r="C201" t="s">
        <v>151</v>
      </c>
      <c r="D201" t="s">
        <v>146</v>
      </c>
      <c r="E201" t="s">
        <v>182</v>
      </c>
      <c r="F201" t="s">
        <v>183</v>
      </c>
      <c r="G201" t="s">
        <v>18</v>
      </c>
      <c r="H201">
        <v>0</v>
      </c>
      <c r="I201">
        <v>0</v>
      </c>
      <c r="J201">
        <v>0</v>
      </c>
      <c r="K201">
        <v>52</v>
      </c>
      <c r="L201">
        <v>49</v>
      </c>
      <c r="M201" s="48">
        <v>0</v>
      </c>
    </row>
    <row r="202" spans="1:13" x14ac:dyDescent="0.35">
      <c r="A202" t="s">
        <v>174</v>
      </c>
      <c r="B202" t="s">
        <v>13</v>
      </c>
      <c r="C202" t="s">
        <v>157</v>
      </c>
      <c r="D202" t="s">
        <v>146</v>
      </c>
      <c r="E202" t="s">
        <v>182</v>
      </c>
      <c r="F202" t="s">
        <v>183</v>
      </c>
      <c r="G202" t="s">
        <v>18</v>
      </c>
      <c r="H202">
        <v>1</v>
      </c>
      <c r="I202">
        <v>0</v>
      </c>
      <c r="J202">
        <v>0</v>
      </c>
      <c r="K202">
        <v>724</v>
      </c>
      <c r="L202">
        <v>689</v>
      </c>
      <c r="M202" s="48">
        <v>1.45137880986938E-3</v>
      </c>
    </row>
    <row r="203" spans="1:13" x14ac:dyDescent="0.35">
      <c r="A203" t="s">
        <v>174</v>
      </c>
      <c r="B203" t="s">
        <v>13</v>
      </c>
      <c r="C203" t="s">
        <v>153</v>
      </c>
      <c r="D203" t="s">
        <v>146</v>
      </c>
      <c r="E203" t="s">
        <v>182</v>
      </c>
      <c r="F203" t="s">
        <v>183</v>
      </c>
      <c r="G203" t="s">
        <v>18</v>
      </c>
      <c r="H203">
        <v>0</v>
      </c>
      <c r="I203">
        <v>0</v>
      </c>
      <c r="J203">
        <v>0</v>
      </c>
      <c r="K203">
        <v>24</v>
      </c>
      <c r="L203">
        <v>24</v>
      </c>
      <c r="M203" s="48">
        <v>0</v>
      </c>
    </row>
    <row r="204" spans="1:13" x14ac:dyDescent="0.35">
      <c r="A204" t="s">
        <v>174</v>
      </c>
      <c r="B204" t="s">
        <v>13</v>
      </c>
      <c r="C204" t="s">
        <v>152</v>
      </c>
      <c r="D204" t="s">
        <v>146</v>
      </c>
      <c r="E204" t="s">
        <v>182</v>
      </c>
      <c r="F204" t="s">
        <v>183</v>
      </c>
      <c r="G204" t="s">
        <v>18</v>
      </c>
      <c r="H204">
        <v>7</v>
      </c>
      <c r="I204">
        <v>0</v>
      </c>
      <c r="J204">
        <v>3</v>
      </c>
      <c r="K204">
        <v>42</v>
      </c>
      <c r="L204">
        <v>39</v>
      </c>
      <c r="M204" s="48">
        <v>0.17948717948717899</v>
      </c>
    </row>
    <row r="205" spans="1:13" x14ac:dyDescent="0.35">
      <c r="A205" t="s">
        <v>174</v>
      </c>
      <c r="B205" t="s">
        <v>13</v>
      </c>
      <c r="C205" t="s">
        <v>154</v>
      </c>
      <c r="D205" t="s">
        <v>146</v>
      </c>
      <c r="E205" t="s">
        <v>182</v>
      </c>
      <c r="F205" t="s">
        <v>183</v>
      </c>
      <c r="G205" t="s">
        <v>18</v>
      </c>
      <c r="H205">
        <v>0</v>
      </c>
      <c r="I205">
        <v>0</v>
      </c>
      <c r="J205">
        <v>0</v>
      </c>
      <c r="K205">
        <v>25</v>
      </c>
      <c r="L205">
        <v>23</v>
      </c>
      <c r="M205" s="48">
        <v>0</v>
      </c>
    </row>
    <row r="206" spans="1:13" x14ac:dyDescent="0.35">
      <c r="A206" t="s">
        <v>174</v>
      </c>
      <c r="B206" t="s">
        <v>13</v>
      </c>
      <c r="C206" t="s">
        <v>155</v>
      </c>
      <c r="D206" t="s">
        <v>146</v>
      </c>
      <c r="E206" t="s">
        <v>182</v>
      </c>
      <c r="F206" t="s">
        <v>183</v>
      </c>
      <c r="G206" t="s">
        <v>18</v>
      </c>
      <c r="H206">
        <v>1</v>
      </c>
      <c r="I206">
        <v>0</v>
      </c>
      <c r="J206">
        <v>0</v>
      </c>
      <c r="K206">
        <v>102</v>
      </c>
      <c r="L206">
        <v>101</v>
      </c>
      <c r="M206" s="48">
        <v>9.9009900990098994E-3</v>
      </c>
    </row>
    <row r="207" spans="1:13" x14ac:dyDescent="0.35">
      <c r="A207" t="s">
        <v>174</v>
      </c>
      <c r="B207" t="s">
        <v>13</v>
      </c>
      <c r="C207" t="s">
        <v>158</v>
      </c>
      <c r="D207" t="s">
        <v>146</v>
      </c>
      <c r="E207" t="s">
        <v>182</v>
      </c>
      <c r="F207" t="s">
        <v>183</v>
      </c>
      <c r="G207" t="s">
        <v>18</v>
      </c>
      <c r="H207">
        <v>8</v>
      </c>
      <c r="I207">
        <v>0</v>
      </c>
      <c r="J207">
        <v>1</v>
      </c>
      <c r="K207">
        <v>855</v>
      </c>
      <c r="L207">
        <v>846</v>
      </c>
      <c r="M207" s="48">
        <v>9.4562647754137096E-3</v>
      </c>
    </row>
    <row r="208" spans="1:13" x14ac:dyDescent="0.35">
      <c r="A208" t="s">
        <v>174</v>
      </c>
      <c r="B208" t="s">
        <v>36</v>
      </c>
      <c r="C208" t="s">
        <v>150</v>
      </c>
      <c r="D208" t="s">
        <v>146</v>
      </c>
      <c r="E208" t="s">
        <v>179</v>
      </c>
      <c r="F208" t="s">
        <v>16</v>
      </c>
      <c r="G208" t="s">
        <v>17</v>
      </c>
      <c r="H208">
        <v>1</v>
      </c>
      <c r="I208">
        <v>1</v>
      </c>
      <c r="J208">
        <v>0</v>
      </c>
      <c r="K208">
        <v>11</v>
      </c>
      <c r="L208">
        <v>10</v>
      </c>
      <c r="M208" s="48">
        <v>0.1</v>
      </c>
    </row>
    <row r="209" spans="1:13" x14ac:dyDescent="0.35">
      <c r="A209" t="s">
        <v>174</v>
      </c>
      <c r="B209" t="s">
        <v>36</v>
      </c>
      <c r="C209" t="s">
        <v>151</v>
      </c>
      <c r="D209" t="s">
        <v>146</v>
      </c>
      <c r="E209" t="s">
        <v>179</v>
      </c>
      <c r="F209" t="s">
        <v>16</v>
      </c>
      <c r="G209" t="s">
        <v>17</v>
      </c>
      <c r="H209">
        <v>1</v>
      </c>
      <c r="I209">
        <v>1</v>
      </c>
      <c r="J209">
        <v>0</v>
      </c>
      <c r="K209">
        <v>14</v>
      </c>
      <c r="L209">
        <v>12</v>
      </c>
      <c r="M209" s="48">
        <v>8.3333333333333301E-2</v>
      </c>
    </row>
    <row r="210" spans="1:13" x14ac:dyDescent="0.35">
      <c r="A210" t="s">
        <v>174</v>
      </c>
      <c r="B210" t="s">
        <v>36</v>
      </c>
      <c r="C210" t="s">
        <v>152</v>
      </c>
      <c r="D210" t="s">
        <v>146</v>
      </c>
      <c r="E210" t="s">
        <v>179</v>
      </c>
      <c r="F210" t="s">
        <v>16</v>
      </c>
      <c r="G210" t="s">
        <v>17</v>
      </c>
      <c r="H210">
        <v>17</v>
      </c>
      <c r="I210">
        <v>17</v>
      </c>
      <c r="J210">
        <v>0</v>
      </c>
      <c r="K210">
        <v>81</v>
      </c>
      <c r="L210">
        <v>74</v>
      </c>
      <c r="M210" s="48">
        <v>0.22972972972972999</v>
      </c>
    </row>
    <row r="211" spans="1:13" x14ac:dyDescent="0.35">
      <c r="A211" t="s">
        <v>174</v>
      </c>
      <c r="B211" t="s">
        <v>36</v>
      </c>
      <c r="C211" t="s">
        <v>153</v>
      </c>
      <c r="D211" t="s">
        <v>146</v>
      </c>
      <c r="E211" t="s">
        <v>179</v>
      </c>
      <c r="F211" t="s">
        <v>16</v>
      </c>
      <c r="G211" t="s">
        <v>17</v>
      </c>
      <c r="H211">
        <v>1</v>
      </c>
      <c r="I211">
        <v>1</v>
      </c>
      <c r="J211">
        <v>0</v>
      </c>
      <c r="K211">
        <v>4</v>
      </c>
      <c r="L211">
        <v>4</v>
      </c>
      <c r="M211" s="48">
        <v>0.25</v>
      </c>
    </row>
    <row r="212" spans="1:13" x14ac:dyDescent="0.35">
      <c r="A212" t="s">
        <v>174</v>
      </c>
      <c r="B212" t="s">
        <v>36</v>
      </c>
      <c r="C212" t="s">
        <v>154</v>
      </c>
      <c r="D212" t="s">
        <v>146</v>
      </c>
      <c r="E212" t="s">
        <v>179</v>
      </c>
      <c r="F212" t="s">
        <v>16</v>
      </c>
      <c r="G212" t="s">
        <v>17</v>
      </c>
      <c r="H212">
        <v>1</v>
      </c>
      <c r="I212">
        <v>1</v>
      </c>
      <c r="J212">
        <v>0</v>
      </c>
      <c r="K212">
        <v>17</v>
      </c>
      <c r="L212">
        <v>16</v>
      </c>
      <c r="M212" s="48">
        <v>6.25E-2</v>
      </c>
    </row>
    <row r="213" spans="1:13" x14ac:dyDescent="0.35">
      <c r="A213" t="s">
        <v>174</v>
      </c>
      <c r="B213" t="s">
        <v>36</v>
      </c>
      <c r="C213" t="s">
        <v>148</v>
      </c>
      <c r="D213" t="s">
        <v>146</v>
      </c>
      <c r="E213" t="s">
        <v>179</v>
      </c>
      <c r="F213" t="s">
        <v>16</v>
      </c>
      <c r="G213" t="s">
        <v>17</v>
      </c>
      <c r="H213">
        <v>10</v>
      </c>
      <c r="I213">
        <v>8</v>
      </c>
      <c r="J213">
        <v>0</v>
      </c>
      <c r="K213">
        <v>179</v>
      </c>
      <c r="L213">
        <v>169</v>
      </c>
      <c r="M213" s="48">
        <v>5.9171597633136098E-2</v>
      </c>
    </row>
    <row r="214" spans="1:13" x14ac:dyDescent="0.35">
      <c r="A214" t="s">
        <v>174</v>
      </c>
      <c r="B214" t="s">
        <v>36</v>
      </c>
      <c r="C214" t="s">
        <v>155</v>
      </c>
      <c r="D214" t="s">
        <v>146</v>
      </c>
      <c r="E214" t="s">
        <v>179</v>
      </c>
      <c r="F214" t="s">
        <v>16</v>
      </c>
      <c r="G214" t="s">
        <v>17</v>
      </c>
      <c r="H214">
        <v>2</v>
      </c>
      <c r="I214">
        <v>2</v>
      </c>
      <c r="J214">
        <v>0</v>
      </c>
      <c r="K214">
        <v>11</v>
      </c>
      <c r="L214">
        <v>11</v>
      </c>
      <c r="M214" s="48">
        <v>0.18181818181818199</v>
      </c>
    </row>
    <row r="215" spans="1:13" x14ac:dyDescent="0.35">
      <c r="A215" t="s">
        <v>174</v>
      </c>
      <c r="B215" t="s">
        <v>36</v>
      </c>
      <c r="C215" t="s">
        <v>156</v>
      </c>
      <c r="D215" t="s">
        <v>146</v>
      </c>
      <c r="E215" t="s">
        <v>179</v>
      </c>
      <c r="F215" t="s">
        <v>16</v>
      </c>
      <c r="G215" t="s">
        <v>17</v>
      </c>
      <c r="H215">
        <v>2</v>
      </c>
      <c r="I215">
        <v>2</v>
      </c>
      <c r="J215">
        <v>0</v>
      </c>
      <c r="K215">
        <v>16</v>
      </c>
      <c r="L215">
        <v>14</v>
      </c>
      <c r="M215" s="48">
        <v>0.14285714285714299</v>
      </c>
    </row>
    <row r="216" spans="1:13" x14ac:dyDescent="0.35">
      <c r="A216" t="s">
        <v>174</v>
      </c>
      <c r="B216" t="s">
        <v>36</v>
      </c>
      <c r="C216" t="s">
        <v>157</v>
      </c>
      <c r="D216" t="s">
        <v>146</v>
      </c>
      <c r="E216" t="s">
        <v>179</v>
      </c>
      <c r="F216" t="s">
        <v>16</v>
      </c>
      <c r="G216" t="s">
        <v>17</v>
      </c>
      <c r="H216">
        <v>1</v>
      </c>
      <c r="I216">
        <v>1</v>
      </c>
      <c r="J216">
        <v>0</v>
      </c>
      <c r="K216">
        <v>22</v>
      </c>
      <c r="L216">
        <v>21</v>
      </c>
      <c r="M216" s="48">
        <v>4.7619047619047603E-2</v>
      </c>
    </row>
    <row r="217" spans="1:13" x14ac:dyDescent="0.35">
      <c r="A217" t="s">
        <v>174</v>
      </c>
      <c r="B217" t="s">
        <v>36</v>
      </c>
      <c r="C217" t="s">
        <v>158</v>
      </c>
      <c r="D217" t="s">
        <v>146</v>
      </c>
      <c r="E217" t="s">
        <v>179</v>
      </c>
      <c r="F217" t="s">
        <v>16</v>
      </c>
      <c r="G217" t="s">
        <v>17</v>
      </c>
      <c r="H217">
        <v>3</v>
      </c>
      <c r="I217">
        <v>3</v>
      </c>
      <c r="J217">
        <v>0</v>
      </c>
      <c r="K217">
        <v>37</v>
      </c>
      <c r="L217">
        <v>37</v>
      </c>
      <c r="M217" s="48">
        <v>8.1081081081081099E-2</v>
      </c>
    </row>
    <row r="218" spans="1:13" x14ac:dyDescent="0.35">
      <c r="A218" t="s">
        <v>174</v>
      </c>
      <c r="B218" t="s">
        <v>36</v>
      </c>
      <c r="C218" t="s">
        <v>145</v>
      </c>
      <c r="D218" t="s">
        <v>162</v>
      </c>
      <c r="E218" t="s">
        <v>184</v>
      </c>
      <c r="F218" t="s">
        <v>28</v>
      </c>
      <c r="G218" t="s">
        <v>29</v>
      </c>
      <c r="H218">
        <v>5</v>
      </c>
      <c r="I218">
        <v>5</v>
      </c>
      <c r="J218">
        <v>0</v>
      </c>
      <c r="K218">
        <v>28</v>
      </c>
      <c r="L218">
        <v>23</v>
      </c>
      <c r="M218" s="48">
        <v>0.217391304347826</v>
      </c>
    </row>
    <row r="219" spans="1:13" x14ac:dyDescent="0.35">
      <c r="A219" t="s">
        <v>174</v>
      </c>
      <c r="B219" t="s">
        <v>36</v>
      </c>
      <c r="C219" t="s">
        <v>150</v>
      </c>
      <c r="D219" t="s">
        <v>146</v>
      </c>
      <c r="E219" t="s">
        <v>178</v>
      </c>
      <c r="F219" t="s">
        <v>16</v>
      </c>
      <c r="G219" t="s">
        <v>20</v>
      </c>
      <c r="H219">
        <v>2</v>
      </c>
      <c r="I219">
        <v>1</v>
      </c>
      <c r="J219">
        <v>0</v>
      </c>
      <c r="K219">
        <v>12</v>
      </c>
      <c r="L219">
        <v>12</v>
      </c>
      <c r="M219" s="48">
        <v>0.16666666666666699</v>
      </c>
    </row>
    <row r="220" spans="1:13" x14ac:dyDescent="0.35">
      <c r="A220" t="s">
        <v>174</v>
      </c>
      <c r="B220" t="s">
        <v>36</v>
      </c>
      <c r="C220" t="s">
        <v>151</v>
      </c>
      <c r="D220" t="s">
        <v>146</v>
      </c>
      <c r="E220" t="s">
        <v>178</v>
      </c>
      <c r="F220" t="s">
        <v>16</v>
      </c>
      <c r="G220" t="s">
        <v>20</v>
      </c>
      <c r="H220">
        <v>0</v>
      </c>
      <c r="I220">
        <v>0</v>
      </c>
      <c r="J220">
        <v>0</v>
      </c>
      <c r="K220">
        <v>16</v>
      </c>
      <c r="L220">
        <v>12</v>
      </c>
      <c r="M220" s="48">
        <v>0</v>
      </c>
    </row>
    <row r="221" spans="1:13" x14ac:dyDescent="0.35">
      <c r="A221" t="s">
        <v>174</v>
      </c>
      <c r="B221" t="s">
        <v>36</v>
      </c>
      <c r="C221" t="s">
        <v>152</v>
      </c>
      <c r="D221" t="s">
        <v>146</v>
      </c>
      <c r="E221" t="s">
        <v>178</v>
      </c>
      <c r="F221" t="s">
        <v>16</v>
      </c>
      <c r="G221" t="s">
        <v>20</v>
      </c>
      <c r="H221">
        <v>10</v>
      </c>
      <c r="I221">
        <v>10</v>
      </c>
      <c r="J221">
        <v>0</v>
      </c>
      <c r="K221">
        <v>82</v>
      </c>
      <c r="L221">
        <v>59</v>
      </c>
      <c r="M221" s="48">
        <v>0.169491525423729</v>
      </c>
    </row>
    <row r="222" spans="1:13" x14ac:dyDescent="0.35">
      <c r="A222" t="s">
        <v>174</v>
      </c>
      <c r="B222" t="s">
        <v>36</v>
      </c>
      <c r="C222" t="s">
        <v>153</v>
      </c>
      <c r="D222" t="s">
        <v>146</v>
      </c>
      <c r="E222" t="s">
        <v>178</v>
      </c>
      <c r="F222" t="s">
        <v>16</v>
      </c>
      <c r="G222" t="s">
        <v>20</v>
      </c>
      <c r="H222">
        <v>0</v>
      </c>
      <c r="I222">
        <v>0</v>
      </c>
      <c r="J222">
        <v>0</v>
      </c>
      <c r="K222">
        <v>7</v>
      </c>
      <c r="L222">
        <v>5</v>
      </c>
      <c r="M222" s="48">
        <v>0</v>
      </c>
    </row>
    <row r="223" spans="1:13" x14ac:dyDescent="0.35">
      <c r="A223" t="s">
        <v>174</v>
      </c>
      <c r="B223" t="s">
        <v>36</v>
      </c>
      <c r="C223" t="s">
        <v>154</v>
      </c>
      <c r="D223" t="s">
        <v>146</v>
      </c>
      <c r="E223" t="s">
        <v>178</v>
      </c>
      <c r="F223" t="s">
        <v>16</v>
      </c>
      <c r="G223" t="s">
        <v>20</v>
      </c>
      <c r="H223">
        <v>0</v>
      </c>
      <c r="I223">
        <v>0</v>
      </c>
      <c r="J223">
        <v>0</v>
      </c>
      <c r="K223">
        <v>17</v>
      </c>
      <c r="L223">
        <v>14</v>
      </c>
      <c r="M223" s="48">
        <v>0</v>
      </c>
    </row>
    <row r="224" spans="1:13" x14ac:dyDescent="0.35">
      <c r="A224" t="s">
        <v>174</v>
      </c>
      <c r="B224" t="s">
        <v>36</v>
      </c>
      <c r="C224" t="s">
        <v>148</v>
      </c>
      <c r="D224" t="s">
        <v>146</v>
      </c>
      <c r="E224" t="s">
        <v>178</v>
      </c>
      <c r="F224" t="s">
        <v>16</v>
      </c>
      <c r="G224" t="s">
        <v>20</v>
      </c>
      <c r="H224">
        <v>7</v>
      </c>
      <c r="I224">
        <v>7</v>
      </c>
      <c r="J224">
        <v>0</v>
      </c>
      <c r="K224">
        <v>158</v>
      </c>
      <c r="L224">
        <v>123</v>
      </c>
      <c r="M224" s="48">
        <v>5.6910569105691103E-2</v>
      </c>
    </row>
    <row r="225" spans="1:13" x14ac:dyDescent="0.35">
      <c r="A225" t="s">
        <v>174</v>
      </c>
      <c r="B225" t="s">
        <v>36</v>
      </c>
      <c r="C225" t="s">
        <v>155</v>
      </c>
      <c r="D225" t="s">
        <v>146</v>
      </c>
      <c r="E225" t="s">
        <v>178</v>
      </c>
      <c r="F225" t="s">
        <v>16</v>
      </c>
      <c r="G225" t="s">
        <v>20</v>
      </c>
      <c r="H225">
        <v>1</v>
      </c>
      <c r="I225">
        <v>1</v>
      </c>
      <c r="J225">
        <v>0</v>
      </c>
      <c r="K225">
        <v>15</v>
      </c>
      <c r="L225">
        <v>11</v>
      </c>
      <c r="M225" s="48">
        <v>9.0909090909090898E-2</v>
      </c>
    </row>
    <row r="226" spans="1:13" x14ac:dyDescent="0.35">
      <c r="A226" t="s">
        <v>174</v>
      </c>
      <c r="B226" t="s">
        <v>36</v>
      </c>
      <c r="C226" t="s">
        <v>156</v>
      </c>
      <c r="D226" t="s">
        <v>146</v>
      </c>
      <c r="E226" t="s">
        <v>178</v>
      </c>
      <c r="F226" t="s">
        <v>16</v>
      </c>
      <c r="G226" t="s">
        <v>20</v>
      </c>
      <c r="H226">
        <v>1</v>
      </c>
      <c r="I226">
        <v>1</v>
      </c>
      <c r="J226">
        <v>0</v>
      </c>
      <c r="K226">
        <v>13</v>
      </c>
      <c r="L226">
        <v>11</v>
      </c>
      <c r="M226" s="48">
        <v>9.0909090909090898E-2</v>
      </c>
    </row>
    <row r="227" spans="1:13" x14ac:dyDescent="0.35">
      <c r="A227" t="s">
        <v>174</v>
      </c>
      <c r="B227" t="s">
        <v>36</v>
      </c>
      <c r="C227" t="s">
        <v>157</v>
      </c>
      <c r="D227" t="s">
        <v>146</v>
      </c>
      <c r="E227" t="s">
        <v>178</v>
      </c>
      <c r="F227" t="s">
        <v>16</v>
      </c>
      <c r="G227" t="s">
        <v>20</v>
      </c>
      <c r="H227">
        <v>0</v>
      </c>
      <c r="I227">
        <v>0</v>
      </c>
      <c r="J227">
        <v>0</v>
      </c>
      <c r="K227">
        <v>16</v>
      </c>
      <c r="L227">
        <v>15</v>
      </c>
      <c r="M227" s="48">
        <v>0</v>
      </c>
    </row>
    <row r="228" spans="1:13" x14ac:dyDescent="0.35">
      <c r="A228" t="s">
        <v>174</v>
      </c>
      <c r="B228" t="s">
        <v>36</v>
      </c>
      <c r="C228" t="s">
        <v>158</v>
      </c>
      <c r="D228" t="s">
        <v>146</v>
      </c>
      <c r="E228" t="s">
        <v>178</v>
      </c>
      <c r="F228" t="s">
        <v>16</v>
      </c>
      <c r="G228" t="s">
        <v>20</v>
      </c>
      <c r="H228">
        <v>2</v>
      </c>
      <c r="I228">
        <v>1</v>
      </c>
      <c r="J228">
        <v>0</v>
      </c>
      <c r="K228">
        <v>65</v>
      </c>
      <c r="L228">
        <v>52</v>
      </c>
      <c r="M228" s="48">
        <v>3.8461538461538498E-2</v>
      </c>
    </row>
    <row r="229" spans="1:13" x14ac:dyDescent="0.35">
      <c r="A229" t="s">
        <v>174</v>
      </c>
      <c r="B229" t="s">
        <v>36</v>
      </c>
      <c r="C229" t="s">
        <v>145</v>
      </c>
      <c r="D229" t="s">
        <v>146</v>
      </c>
      <c r="E229" t="s">
        <v>178</v>
      </c>
      <c r="F229" t="s">
        <v>28</v>
      </c>
      <c r="G229" t="s">
        <v>29</v>
      </c>
      <c r="H229">
        <v>3</v>
      </c>
      <c r="I229">
        <v>3</v>
      </c>
      <c r="J229">
        <v>0</v>
      </c>
      <c r="K229">
        <v>32</v>
      </c>
      <c r="L229">
        <v>25</v>
      </c>
      <c r="M229" s="48">
        <v>0.12</v>
      </c>
    </row>
    <row r="230" spans="1:13" x14ac:dyDescent="0.35">
      <c r="A230" t="s">
        <v>174</v>
      </c>
      <c r="B230" t="s">
        <v>36</v>
      </c>
      <c r="C230" t="s">
        <v>145</v>
      </c>
      <c r="D230" t="s">
        <v>162</v>
      </c>
      <c r="E230" t="s">
        <v>177</v>
      </c>
      <c r="F230" t="s">
        <v>28</v>
      </c>
      <c r="G230" t="s">
        <v>29</v>
      </c>
      <c r="H230">
        <v>6</v>
      </c>
      <c r="I230">
        <v>6</v>
      </c>
      <c r="J230">
        <v>0</v>
      </c>
      <c r="K230">
        <v>41</v>
      </c>
      <c r="L230">
        <v>31</v>
      </c>
      <c r="M230" s="48">
        <v>0.19354838709677399</v>
      </c>
    </row>
    <row r="231" spans="1:13" x14ac:dyDescent="0.35">
      <c r="A231" t="s">
        <v>174</v>
      </c>
      <c r="B231" t="s">
        <v>36</v>
      </c>
      <c r="C231" t="s">
        <v>148</v>
      </c>
      <c r="D231" t="s">
        <v>146</v>
      </c>
      <c r="E231" t="s">
        <v>177</v>
      </c>
      <c r="F231" t="s">
        <v>19</v>
      </c>
      <c r="G231" t="s">
        <v>18</v>
      </c>
      <c r="H231">
        <v>18</v>
      </c>
      <c r="I231">
        <v>17</v>
      </c>
      <c r="J231">
        <v>1</v>
      </c>
      <c r="K231">
        <v>204</v>
      </c>
      <c r="L231">
        <v>189</v>
      </c>
      <c r="M231" s="48">
        <v>9.5238095238095205E-2</v>
      </c>
    </row>
    <row r="232" spans="1:13" x14ac:dyDescent="0.35">
      <c r="A232" t="s">
        <v>174</v>
      </c>
      <c r="B232" t="s">
        <v>36</v>
      </c>
      <c r="C232" t="s">
        <v>154</v>
      </c>
      <c r="D232" t="s">
        <v>146</v>
      </c>
      <c r="E232" t="s">
        <v>177</v>
      </c>
      <c r="F232" t="s">
        <v>19</v>
      </c>
      <c r="G232" t="s">
        <v>18</v>
      </c>
      <c r="H232">
        <v>0</v>
      </c>
      <c r="I232">
        <v>0</v>
      </c>
      <c r="J232">
        <v>0</v>
      </c>
      <c r="K232">
        <v>10</v>
      </c>
      <c r="L232">
        <v>10</v>
      </c>
      <c r="M232" s="48">
        <v>0</v>
      </c>
    </row>
    <row r="233" spans="1:13" x14ac:dyDescent="0.35">
      <c r="A233" t="s">
        <v>174</v>
      </c>
      <c r="B233" t="s">
        <v>36</v>
      </c>
      <c r="C233" t="s">
        <v>156</v>
      </c>
      <c r="D233" t="s">
        <v>146</v>
      </c>
      <c r="E233" t="s">
        <v>177</v>
      </c>
      <c r="F233" t="s">
        <v>19</v>
      </c>
      <c r="G233" t="s">
        <v>18</v>
      </c>
      <c r="H233">
        <v>1</v>
      </c>
      <c r="I233">
        <v>1</v>
      </c>
      <c r="J233">
        <v>0</v>
      </c>
      <c r="K233">
        <v>12</v>
      </c>
      <c r="L233">
        <v>11</v>
      </c>
      <c r="M233" s="48">
        <v>9.0909090909090898E-2</v>
      </c>
    </row>
    <row r="234" spans="1:13" x14ac:dyDescent="0.35">
      <c r="A234" t="s">
        <v>174</v>
      </c>
      <c r="B234" t="s">
        <v>36</v>
      </c>
      <c r="C234" t="s">
        <v>153</v>
      </c>
      <c r="D234" t="s">
        <v>146</v>
      </c>
      <c r="E234" t="s">
        <v>177</v>
      </c>
      <c r="F234" t="s">
        <v>19</v>
      </c>
      <c r="G234" t="s">
        <v>18</v>
      </c>
      <c r="H234">
        <v>0</v>
      </c>
      <c r="I234">
        <v>0</v>
      </c>
      <c r="J234">
        <v>0</v>
      </c>
      <c r="K234">
        <v>5</v>
      </c>
      <c r="L234">
        <v>5</v>
      </c>
      <c r="M234" s="48">
        <v>0</v>
      </c>
    </row>
    <row r="235" spans="1:13" x14ac:dyDescent="0.35">
      <c r="A235" t="s">
        <v>174</v>
      </c>
      <c r="B235" t="s">
        <v>36</v>
      </c>
      <c r="C235" t="s">
        <v>158</v>
      </c>
      <c r="D235" t="s">
        <v>146</v>
      </c>
      <c r="E235" t="s">
        <v>177</v>
      </c>
      <c r="F235" t="s">
        <v>19</v>
      </c>
      <c r="G235" t="s">
        <v>18</v>
      </c>
      <c r="H235">
        <v>1</v>
      </c>
      <c r="I235">
        <v>1</v>
      </c>
      <c r="J235">
        <v>0</v>
      </c>
      <c r="K235">
        <v>37</v>
      </c>
      <c r="L235">
        <v>31</v>
      </c>
      <c r="M235" s="48">
        <v>3.2258064516128997E-2</v>
      </c>
    </row>
    <row r="236" spans="1:13" x14ac:dyDescent="0.35">
      <c r="A236" t="s">
        <v>174</v>
      </c>
      <c r="B236" t="s">
        <v>36</v>
      </c>
      <c r="C236" t="s">
        <v>152</v>
      </c>
      <c r="D236" t="s">
        <v>146</v>
      </c>
      <c r="E236" t="s">
        <v>177</v>
      </c>
      <c r="F236" t="s">
        <v>19</v>
      </c>
      <c r="G236" t="s">
        <v>18</v>
      </c>
      <c r="H236">
        <v>9</v>
      </c>
      <c r="I236">
        <v>9</v>
      </c>
      <c r="J236">
        <v>0</v>
      </c>
      <c r="K236">
        <v>75</v>
      </c>
      <c r="L236">
        <v>62</v>
      </c>
      <c r="M236" s="48">
        <v>0.14516129032258099</v>
      </c>
    </row>
    <row r="237" spans="1:13" x14ac:dyDescent="0.35">
      <c r="A237" t="s">
        <v>174</v>
      </c>
      <c r="B237" t="s">
        <v>36</v>
      </c>
      <c r="C237" t="s">
        <v>157</v>
      </c>
      <c r="D237" t="s">
        <v>146</v>
      </c>
      <c r="E237" t="s">
        <v>177</v>
      </c>
      <c r="F237" t="s">
        <v>19</v>
      </c>
      <c r="G237" t="s">
        <v>18</v>
      </c>
      <c r="H237">
        <v>1</v>
      </c>
      <c r="I237">
        <v>1</v>
      </c>
      <c r="J237">
        <v>0</v>
      </c>
      <c r="K237">
        <v>14</v>
      </c>
      <c r="L237">
        <v>14</v>
      </c>
      <c r="M237" s="48">
        <v>7.1428571428571397E-2</v>
      </c>
    </row>
    <row r="238" spans="1:13" x14ac:dyDescent="0.35">
      <c r="A238" t="s">
        <v>174</v>
      </c>
      <c r="B238" t="s">
        <v>36</v>
      </c>
      <c r="C238" t="s">
        <v>151</v>
      </c>
      <c r="D238" t="s">
        <v>146</v>
      </c>
      <c r="E238" t="s">
        <v>177</v>
      </c>
      <c r="F238" t="s">
        <v>19</v>
      </c>
      <c r="G238" t="s">
        <v>18</v>
      </c>
      <c r="H238">
        <v>0</v>
      </c>
      <c r="I238">
        <v>0</v>
      </c>
      <c r="J238">
        <v>0</v>
      </c>
      <c r="K238">
        <v>9</v>
      </c>
      <c r="L238">
        <v>9</v>
      </c>
      <c r="M238" s="48">
        <v>0</v>
      </c>
    </row>
    <row r="239" spans="1:13" x14ac:dyDescent="0.35">
      <c r="A239" t="s">
        <v>174</v>
      </c>
      <c r="B239" t="s">
        <v>36</v>
      </c>
      <c r="C239" t="s">
        <v>150</v>
      </c>
      <c r="D239" t="s">
        <v>146</v>
      </c>
      <c r="E239" t="s">
        <v>177</v>
      </c>
      <c r="F239" t="s">
        <v>19</v>
      </c>
      <c r="G239" t="s">
        <v>18</v>
      </c>
      <c r="H239">
        <v>3</v>
      </c>
      <c r="I239">
        <v>3</v>
      </c>
      <c r="J239">
        <v>0</v>
      </c>
      <c r="K239">
        <v>12</v>
      </c>
      <c r="L239">
        <v>12</v>
      </c>
      <c r="M239" s="48">
        <v>0.25</v>
      </c>
    </row>
    <row r="240" spans="1:13" x14ac:dyDescent="0.35">
      <c r="A240" t="s">
        <v>174</v>
      </c>
      <c r="B240" t="s">
        <v>36</v>
      </c>
      <c r="C240" t="s">
        <v>155</v>
      </c>
      <c r="D240" t="s">
        <v>146</v>
      </c>
      <c r="E240" t="s">
        <v>177</v>
      </c>
      <c r="F240" t="s">
        <v>19</v>
      </c>
      <c r="G240" t="s">
        <v>18</v>
      </c>
      <c r="H240">
        <v>1</v>
      </c>
      <c r="I240">
        <v>1</v>
      </c>
      <c r="J240">
        <v>0</v>
      </c>
      <c r="K240">
        <v>8</v>
      </c>
      <c r="L240">
        <v>8</v>
      </c>
      <c r="M240" s="48">
        <v>0.125</v>
      </c>
    </row>
    <row r="241" spans="1:13" x14ac:dyDescent="0.35">
      <c r="A241" t="s">
        <v>174</v>
      </c>
      <c r="B241" t="s">
        <v>36</v>
      </c>
      <c r="C241" t="s">
        <v>158</v>
      </c>
      <c r="D241" t="s">
        <v>146</v>
      </c>
      <c r="E241" t="s">
        <v>176</v>
      </c>
      <c r="F241" t="s">
        <v>16</v>
      </c>
      <c r="G241" t="s">
        <v>17</v>
      </c>
      <c r="H241">
        <v>4</v>
      </c>
      <c r="I241">
        <v>4</v>
      </c>
      <c r="J241">
        <v>0</v>
      </c>
      <c r="K241">
        <v>49</v>
      </c>
      <c r="L241">
        <v>47</v>
      </c>
      <c r="M241" s="48">
        <v>8.5106382978723402E-2</v>
      </c>
    </row>
    <row r="242" spans="1:13" x14ac:dyDescent="0.35">
      <c r="A242" t="s">
        <v>174</v>
      </c>
      <c r="B242" t="s">
        <v>36</v>
      </c>
      <c r="C242" t="s">
        <v>152</v>
      </c>
      <c r="D242" t="s">
        <v>146</v>
      </c>
      <c r="E242" t="s">
        <v>176</v>
      </c>
      <c r="F242" t="s">
        <v>16</v>
      </c>
      <c r="G242" t="s">
        <v>17</v>
      </c>
      <c r="H242">
        <v>17</v>
      </c>
      <c r="I242">
        <v>17</v>
      </c>
      <c r="J242">
        <v>0</v>
      </c>
      <c r="K242">
        <v>88</v>
      </c>
      <c r="L242">
        <v>79</v>
      </c>
      <c r="M242" s="48">
        <v>0.215189873417722</v>
      </c>
    </row>
    <row r="243" spans="1:13" x14ac:dyDescent="0.35">
      <c r="A243" t="s">
        <v>174</v>
      </c>
      <c r="B243" t="s">
        <v>36</v>
      </c>
      <c r="C243" t="s">
        <v>148</v>
      </c>
      <c r="D243" t="s">
        <v>146</v>
      </c>
      <c r="E243" t="s">
        <v>176</v>
      </c>
      <c r="F243" t="s">
        <v>16</v>
      </c>
      <c r="G243" t="s">
        <v>17</v>
      </c>
      <c r="H243">
        <v>8</v>
      </c>
      <c r="I243">
        <v>7</v>
      </c>
      <c r="J243">
        <v>1</v>
      </c>
      <c r="K243">
        <v>153</v>
      </c>
      <c r="L243">
        <v>144</v>
      </c>
      <c r="M243" s="48">
        <v>5.5555555555555601E-2</v>
      </c>
    </row>
    <row r="244" spans="1:13" x14ac:dyDescent="0.35">
      <c r="A244" t="s">
        <v>174</v>
      </c>
      <c r="B244" t="s">
        <v>36</v>
      </c>
      <c r="C244" t="s">
        <v>154</v>
      </c>
      <c r="D244" t="s">
        <v>146</v>
      </c>
      <c r="E244" t="s">
        <v>176</v>
      </c>
      <c r="F244" t="s">
        <v>16</v>
      </c>
      <c r="G244" t="s">
        <v>17</v>
      </c>
      <c r="H244">
        <v>0</v>
      </c>
      <c r="I244">
        <v>0</v>
      </c>
      <c r="J244">
        <v>0</v>
      </c>
      <c r="K244">
        <v>13</v>
      </c>
      <c r="L244">
        <v>12</v>
      </c>
      <c r="M244" s="48">
        <v>0</v>
      </c>
    </row>
    <row r="245" spans="1:13" x14ac:dyDescent="0.35">
      <c r="A245" t="s">
        <v>174</v>
      </c>
      <c r="B245" t="s">
        <v>36</v>
      </c>
      <c r="C245" t="s">
        <v>150</v>
      </c>
      <c r="D245" t="s">
        <v>146</v>
      </c>
      <c r="E245" t="s">
        <v>176</v>
      </c>
      <c r="F245" t="s">
        <v>16</v>
      </c>
      <c r="G245" t="s">
        <v>17</v>
      </c>
      <c r="H245">
        <v>2</v>
      </c>
      <c r="I245">
        <v>2</v>
      </c>
      <c r="J245">
        <v>0</v>
      </c>
      <c r="K245">
        <v>11</v>
      </c>
      <c r="L245">
        <v>11</v>
      </c>
      <c r="M245" s="48">
        <v>0.18181818181818199</v>
      </c>
    </row>
    <row r="246" spans="1:13" x14ac:dyDescent="0.35">
      <c r="A246" t="s">
        <v>174</v>
      </c>
      <c r="B246" t="s">
        <v>36</v>
      </c>
      <c r="C246" t="s">
        <v>156</v>
      </c>
      <c r="D246" t="s">
        <v>146</v>
      </c>
      <c r="E246" t="s">
        <v>176</v>
      </c>
      <c r="F246" t="s">
        <v>16</v>
      </c>
      <c r="G246" t="s">
        <v>17</v>
      </c>
      <c r="H246">
        <v>1</v>
      </c>
      <c r="I246">
        <v>1</v>
      </c>
      <c r="J246">
        <v>0</v>
      </c>
      <c r="K246">
        <v>13</v>
      </c>
      <c r="L246">
        <v>12</v>
      </c>
      <c r="M246" s="48">
        <v>8.3333333333333301E-2</v>
      </c>
    </row>
    <row r="247" spans="1:13" x14ac:dyDescent="0.35">
      <c r="A247" t="s">
        <v>174</v>
      </c>
      <c r="B247" t="s">
        <v>36</v>
      </c>
      <c r="C247" t="s">
        <v>153</v>
      </c>
      <c r="D247" t="s">
        <v>146</v>
      </c>
      <c r="E247" t="s">
        <v>176</v>
      </c>
      <c r="F247" t="s">
        <v>16</v>
      </c>
      <c r="G247" t="s">
        <v>17</v>
      </c>
      <c r="H247">
        <v>0</v>
      </c>
      <c r="I247">
        <v>0</v>
      </c>
      <c r="J247">
        <v>0</v>
      </c>
      <c r="K247">
        <v>4</v>
      </c>
      <c r="L247">
        <v>3</v>
      </c>
      <c r="M247" s="48">
        <v>0</v>
      </c>
    </row>
    <row r="248" spans="1:13" x14ac:dyDescent="0.35">
      <c r="A248" t="s">
        <v>174</v>
      </c>
      <c r="B248" t="s">
        <v>36</v>
      </c>
      <c r="C248" t="s">
        <v>155</v>
      </c>
      <c r="D248" t="s">
        <v>146</v>
      </c>
      <c r="E248" t="s">
        <v>176</v>
      </c>
      <c r="F248" t="s">
        <v>16</v>
      </c>
      <c r="G248" t="s">
        <v>17</v>
      </c>
      <c r="H248">
        <v>0</v>
      </c>
      <c r="I248">
        <v>0</v>
      </c>
      <c r="J248">
        <v>0</v>
      </c>
      <c r="K248">
        <v>6</v>
      </c>
      <c r="L248">
        <v>6</v>
      </c>
      <c r="M248" s="48">
        <v>0</v>
      </c>
    </row>
    <row r="249" spans="1:13" x14ac:dyDescent="0.35">
      <c r="A249" t="s">
        <v>174</v>
      </c>
      <c r="B249" t="s">
        <v>36</v>
      </c>
      <c r="C249" t="s">
        <v>157</v>
      </c>
      <c r="D249" t="s">
        <v>146</v>
      </c>
      <c r="E249" t="s">
        <v>176</v>
      </c>
      <c r="F249" t="s">
        <v>16</v>
      </c>
      <c r="G249" t="s">
        <v>17</v>
      </c>
      <c r="H249">
        <v>0</v>
      </c>
      <c r="I249">
        <v>0</v>
      </c>
      <c r="J249">
        <v>0</v>
      </c>
      <c r="K249">
        <v>15</v>
      </c>
      <c r="L249">
        <v>15</v>
      </c>
      <c r="M249" s="48">
        <v>0</v>
      </c>
    </row>
    <row r="250" spans="1:13" x14ac:dyDescent="0.35">
      <c r="A250" t="s">
        <v>174</v>
      </c>
      <c r="B250" t="s">
        <v>36</v>
      </c>
      <c r="C250" t="s">
        <v>151</v>
      </c>
      <c r="D250" t="s">
        <v>146</v>
      </c>
      <c r="E250" t="s">
        <v>176</v>
      </c>
      <c r="F250" t="s">
        <v>16</v>
      </c>
      <c r="G250" t="s">
        <v>17</v>
      </c>
      <c r="H250">
        <v>0</v>
      </c>
      <c r="I250">
        <v>0</v>
      </c>
      <c r="J250">
        <v>0</v>
      </c>
      <c r="K250">
        <v>8</v>
      </c>
      <c r="L250">
        <v>8</v>
      </c>
      <c r="M250" s="48">
        <v>0</v>
      </c>
    </row>
    <row r="251" spans="1:13" x14ac:dyDescent="0.35">
      <c r="A251" t="s">
        <v>174</v>
      </c>
      <c r="B251" t="s">
        <v>36</v>
      </c>
      <c r="C251" t="s">
        <v>145</v>
      </c>
      <c r="D251" t="s">
        <v>162</v>
      </c>
      <c r="E251" t="s">
        <v>175</v>
      </c>
      <c r="F251" t="s">
        <v>18</v>
      </c>
      <c r="G251" t="s">
        <v>38</v>
      </c>
      <c r="H251">
        <v>19</v>
      </c>
      <c r="I251">
        <v>18</v>
      </c>
      <c r="J251">
        <v>0</v>
      </c>
      <c r="K251">
        <v>62</v>
      </c>
      <c r="L251">
        <v>56</v>
      </c>
      <c r="M251" s="48">
        <v>0.33928571428571402</v>
      </c>
    </row>
    <row r="252" spans="1:13" x14ac:dyDescent="0.35">
      <c r="A252" t="s">
        <v>174</v>
      </c>
      <c r="B252" t="s">
        <v>36</v>
      </c>
      <c r="C252" t="s">
        <v>148</v>
      </c>
      <c r="D252" t="s">
        <v>146</v>
      </c>
      <c r="E252" t="s">
        <v>182</v>
      </c>
      <c r="F252" t="s">
        <v>183</v>
      </c>
      <c r="G252" t="s">
        <v>18</v>
      </c>
      <c r="H252">
        <v>13</v>
      </c>
      <c r="I252">
        <v>12</v>
      </c>
      <c r="J252">
        <v>1</v>
      </c>
      <c r="K252">
        <v>238</v>
      </c>
      <c r="L252">
        <v>224</v>
      </c>
      <c r="M252" s="48">
        <v>5.8035714285714302E-2</v>
      </c>
    </row>
    <row r="253" spans="1:13" x14ac:dyDescent="0.35">
      <c r="A253" t="s">
        <v>174</v>
      </c>
      <c r="B253" t="s">
        <v>36</v>
      </c>
      <c r="C253" t="s">
        <v>153</v>
      </c>
      <c r="D253" t="s">
        <v>146</v>
      </c>
      <c r="E253" t="s">
        <v>182</v>
      </c>
      <c r="F253" t="s">
        <v>183</v>
      </c>
      <c r="G253" t="s">
        <v>18</v>
      </c>
      <c r="H253">
        <v>0</v>
      </c>
      <c r="I253">
        <v>0</v>
      </c>
      <c r="J253">
        <v>0</v>
      </c>
      <c r="K253">
        <v>30</v>
      </c>
      <c r="L253">
        <v>29</v>
      </c>
      <c r="M253" s="48">
        <v>0</v>
      </c>
    </row>
    <row r="254" spans="1:13" x14ac:dyDescent="0.35">
      <c r="A254" t="s">
        <v>174</v>
      </c>
      <c r="B254" t="s">
        <v>36</v>
      </c>
      <c r="C254" t="s">
        <v>155</v>
      </c>
      <c r="D254" t="s">
        <v>146</v>
      </c>
      <c r="E254" t="s">
        <v>182</v>
      </c>
      <c r="F254" t="s">
        <v>183</v>
      </c>
      <c r="G254" t="s">
        <v>18</v>
      </c>
      <c r="H254">
        <v>1</v>
      </c>
      <c r="I254">
        <v>1</v>
      </c>
      <c r="J254">
        <v>0</v>
      </c>
      <c r="K254">
        <v>22</v>
      </c>
      <c r="L254">
        <v>22</v>
      </c>
      <c r="M254" s="48">
        <v>4.5454545454545497E-2</v>
      </c>
    </row>
    <row r="255" spans="1:13" x14ac:dyDescent="0.35">
      <c r="A255" t="s">
        <v>174</v>
      </c>
      <c r="B255" t="s">
        <v>36</v>
      </c>
      <c r="C255" t="s">
        <v>157</v>
      </c>
      <c r="D255" t="s">
        <v>146</v>
      </c>
      <c r="E255" t="s">
        <v>182</v>
      </c>
      <c r="F255" t="s">
        <v>183</v>
      </c>
      <c r="G255" t="s">
        <v>18</v>
      </c>
      <c r="H255">
        <v>0</v>
      </c>
      <c r="I255">
        <v>0</v>
      </c>
      <c r="J255">
        <v>0</v>
      </c>
      <c r="K255">
        <v>16</v>
      </c>
      <c r="L255">
        <v>16</v>
      </c>
      <c r="M255" s="48">
        <v>0</v>
      </c>
    </row>
    <row r="256" spans="1:13" x14ac:dyDescent="0.35">
      <c r="A256" t="s">
        <v>174</v>
      </c>
      <c r="B256" t="s">
        <v>36</v>
      </c>
      <c r="C256" t="s">
        <v>152</v>
      </c>
      <c r="D256" t="s">
        <v>146</v>
      </c>
      <c r="E256" t="s">
        <v>182</v>
      </c>
      <c r="F256" t="s">
        <v>183</v>
      </c>
      <c r="G256" t="s">
        <v>18</v>
      </c>
      <c r="H256">
        <v>5</v>
      </c>
      <c r="I256">
        <v>5</v>
      </c>
      <c r="J256">
        <v>0</v>
      </c>
      <c r="K256">
        <v>61</v>
      </c>
      <c r="L256">
        <v>53</v>
      </c>
      <c r="M256" s="48">
        <v>9.4339622641509399E-2</v>
      </c>
    </row>
    <row r="257" spans="1:13" x14ac:dyDescent="0.35">
      <c r="A257" t="s">
        <v>174</v>
      </c>
      <c r="B257" t="s">
        <v>36</v>
      </c>
      <c r="C257" t="s">
        <v>154</v>
      </c>
      <c r="D257" t="s">
        <v>146</v>
      </c>
      <c r="E257" t="s">
        <v>182</v>
      </c>
      <c r="F257" t="s">
        <v>183</v>
      </c>
      <c r="G257" t="s">
        <v>18</v>
      </c>
      <c r="H257">
        <v>0</v>
      </c>
      <c r="I257">
        <v>0</v>
      </c>
      <c r="J257">
        <v>0</v>
      </c>
      <c r="K257">
        <v>14</v>
      </c>
      <c r="L257">
        <v>14</v>
      </c>
      <c r="M257" s="48">
        <v>0</v>
      </c>
    </row>
    <row r="258" spans="1:13" x14ac:dyDescent="0.35">
      <c r="A258" t="s">
        <v>174</v>
      </c>
      <c r="B258" t="s">
        <v>36</v>
      </c>
      <c r="C258" t="s">
        <v>151</v>
      </c>
      <c r="D258" t="s">
        <v>146</v>
      </c>
      <c r="E258" t="s">
        <v>182</v>
      </c>
      <c r="F258" t="s">
        <v>183</v>
      </c>
      <c r="G258" t="s">
        <v>18</v>
      </c>
      <c r="H258">
        <v>1</v>
      </c>
      <c r="I258">
        <v>1</v>
      </c>
      <c r="J258">
        <v>0</v>
      </c>
      <c r="K258">
        <v>81</v>
      </c>
      <c r="L258">
        <v>66</v>
      </c>
      <c r="M258" s="48">
        <v>1.5151515151515201E-2</v>
      </c>
    </row>
    <row r="259" spans="1:13" x14ac:dyDescent="0.35">
      <c r="A259" t="s">
        <v>174</v>
      </c>
      <c r="B259" t="s">
        <v>36</v>
      </c>
      <c r="C259" t="s">
        <v>156</v>
      </c>
      <c r="D259" t="s">
        <v>146</v>
      </c>
      <c r="E259" t="s">
        <v>182</v>
      </c>
      <c r="F259" t="s">
        <v>183</v>
      </c>
      <c r="G259" t="s">
        <v>18</v>
      </c>
      <c r="H259">
        <v>3</v>
      </c>
      <c r="I259">
        <v>3</v>
      </c>
      <c r="J259">
        <v>0</v>
      </c>
      <c r="K259">
        <v>16</v>
      </c>
      <c r="L259">
        <v>15</v>
      </c>
      <c r="M259" s="48">
        <v>0.2</v>
      </c>
    </row>
    <row r="260" spans="1:13" x14ac:dyDescent="0.35">
      <c r="A260" t="s">
        <v>174</v>
      </c>
      <c r="B260" t="s">
        <v>36</v>
      </c>
      <c r="C260" t="s">
        <v>150</v>
      </c>
      <c r="D260" t="s">
        <v>146</v>
      </c>
      <c r="E260" t="s">
        <v>182</v>
      </c>
      <c r="F260" t="s">
        <v>183</v>
      </c>
      <c r="G260" t="s">
        <v>18</v>
      </c>
      <c r="H260">
        <v>1</v>
      </c>
      <c r="I260">
        <v>1</v>
      </c>
      <c r="J260">
        <v>0</v>
      </c>
      <c r="K260">
        <v>18</v>
      </c>
      <c r="L260">
        <v>18</v>
      </c>
      <c r="M260" s="48">
        <v>5.5555555555555601E-2</v>
      </c>
    </row>
    <row r="261" spans="1:13" x14ac:dyDescent="0.35">
      <c r="A261" t="s">
        <v>174</v>
      </c>
      <c r="B261" t="s">
        <v>36</v>
      </c>
      <c r="C261" t="s">
        <v>158</v>
      </c>
      <c r="D261" t="s">
        <v>146</v>
      </c>
      <c r="E261" t="s">
        <v>182</v>
      </c>
      <c r="F261" t="s">
        <v>183</v>
      </c>
      <c r="G261" t="s">
        <v>18</v>
      </c>
      <c r="H261">
        <v>4</v>
      </c>
      <c r="I261">
        <v>4</v>
      </c>
      <c r="J261">
        <v>0</v>
      </c>
      <c r="K261">
        <v>46</v>
      </c>
      <c r="L261">
        <v>46</v>
      </c>
      <c r="M261" s="48">
        <v>8.6956521739130405E-2</v>
      </c>
    </row>
    <row r="262" spans="1:13" x14ac:dyDescent="0.35">
      <c r="A262" t="s">
        <v>174</v>
      </c>
      <c r="B262" t="s">
        <v>36</v>
      </c>
      <c r="C262" t="s">
        <v>157</v>
      </c>
      <c r="D262" t="s">
        <v>146</v>
      </c>
      <c r="E262" t="s">
        <v>180</v>
      </c>
      <c r="F262" t="s">
        <v>21</v>
      </c>
      <c r="G262" t="s">
        <v>181</v>
      </c>
      <c r="H262">
        <v>1</v>
      </c>
      <c r="I262">
        <v>1</v>
      </c>
      <c r="J262">
        <v>0</v>
      </c>
      <c r="K262">
        <v>6</v>
      </c>
      <c r="L262">
        <v>6</v>
      </c>
      <c r="M262" s="48">
        <v>0.16666666666666699</v>
      </c>
    </row>
    <row r="263" spans="1:13" x14ac:dyDescent="0.35">
      <c r="A263" t="s">
        <v>185</v>
      </c>
      <c r="B263" t="s">
        <v>13</v>
      </c>
      <c r="C263" t="s">
        <v>151</v>
      </c>
      <c r="D263" t="s">
        <v>146</v>
      </c>
      <c r="E263" t="s">
        <v>186</v>
      </c>
      <c r="F263" t="s">
        <v>19</v>
      </c>
      <c r="G263" t="s">
        <v>18</v>
      </c>
      <c r="H263">
        <v>1</v>
      </c>
      <c r="I263">
        <v>0</v>
      </c>
      <c r="J263">
        <v>0</v>
      </c>
      <c r="K263">
        <v>121</v>
      </c>
      <c r="L263">
        <v>114</v>
      </c>
      <c r="M263" s="48">
        <v>8.7719298245613996E-3</v>
      </c>
    </row>
    <row r="264" spans="1:13" x14ac:dyDescent="0.35">
      <c r="A264" t="s">
        <v>185</v>
      </c>
      <c r="B264" t="s">
        <v>13</v>
      </c>
      <c r="C264" t="s">
        <v>152</v>
      </c>
      <c r="D264" t="s">
        <v>146</v>
      </c>
      <c r="E264" t="s">
        <v>186</v>
      </c>
      <c r="F264" t="s">
        <v>19</v>
      </c>
      <c r="G264" t="s">
        <v>18</v>
      </c>
      <c r="H264">
        <v>7</v>
      </c>
      <c r="I264">
        <v>0</v>
      </c>
      <c r="J264">
        <v>3</v>
      </c>
      <c r="K264">
        <v>22</v>
      </c>
      <c r="L264">
        <v>22</v>
      </c>
      <c r="M264" s="48">
        <v>0.31818181818181801</v>
      </c>
    </row>
    <row r="265" spans="1:13" x14ac:dyDescent="0.35">
      <c r="A265" t="s">
        <v>185</v>
      </c>
      <c r="B265" t="s">
        <v>13</v>
      </c>
      <c r="C265" t="s">
        <v>154</v>
      </c>
      <c r="D265" t="s">
        <v>146</v>
      </c>
      <c r="E265" t="s">
        <v>186</v>
      </c>
      <c r="F265" t="s">
        <v>19</v>
      </c>
      <c r="G265" t="s">
        <v>18</v>
      </c>
      <c r="H265">
        <v>2</v>
      </c>
      <c r="I265">
        <v>0</v>
      </c>
      <c r="J265">
        <v>0</v>
      </c>
      <c r="K265">
        <v>19</v>
      </c>
      <c r="L265">
        <v>15</v>
      </c>
      <c r="M265" s="48">
        <v>0.133333333333333</v>
      </c>
    </row>
    <row r="266" spans="1:13" x14ac:dyDescent="0.35">
      <c r="A266" t="s">
        <v>185</v>
      </c>
      <c r="B266" t="s">
        <v>13</v>
      </c>
      <c r="C266" t="s">
        <v>149</v>
      </c>
      <c r="D266" t="s">
        <v>146</v>
      </c>
      <c r="E266" t="s">
        <v>186</v>
      </c>
      <c r="F266" t="s">
        <v>19</v>
      </c>
      <c r="G266" t="s">
        <v>18</v>
      </c>
      <c r="H266">
        <v>0</v>
      </c>
      <c r="I266">
        <v>0</v>
      </c>
      <c r="J266">
        <v>0</v>
      </c>
      <c r="K266">
        <v>143</v>
      </c>
      <c r="L266">
        <v>141</v>
      </c>
      <c r="M266" s="48">
        <v>0</v>
      </c>
    </row>
    <row r="267" spans="1:13" x14ac:dyDescent="0.35">
      <c r="A267" t="s">
        <v>185</v>
      </c>
      <c r="B267" t="s">
        <v>13</v>
      </c>
      <c r="C267" t="s">
        <v>155</v>
      </c>
      <c r="D267" t="s">
        <v>146</v>
      </c>
      <c r="E267" t="s">
        <v>186</v>
      </c>
      <c r="F267" t="s">
        <v>19</v>
      </c>
      <c r="G267" t="s">
        <v>18</v>
      </c>
      <c r="H267">
        <v>2</v>
      </c>
      <c r="I267">
        <v>0</v>
      </c>
      <c r="J267">
        <v>1</v>
      </c>
      <c r="K267">
        <v>110</v>
      </c>
      <c r="L267">
        <v>110</v>
      </c>
      <c r="M267" s="48">
        <v>1.8181818181818198E-2</v>
      </c>
    </row>
    <row r="268" spans="1:13" x14ac:dyDescent="0.35">
      <c r="A268" t="s">
        <v>185</v>
      </c>
      <c r="B268" t="s">
        <v>13</v>
      </c>
      <c r="C268" t="s">
        <v>156</v>
      </c>
      <c r="D268" t="s">
        <v>146</v>
      </c>
      <c r="E268" t="s">
        <v>186</v>
      </c>
      <c r="F268" t="s">
        <v>19</v>
      </c>
      <c r="G268" t="s">
        <v>18</v>
      </c>
      <c r="H268">
        <v>4</v>
      </c>
      <c r="I268">
        <v>0</v>
      </c>
      <c r="J268">
        <v>3</v>
      </c>
      <c r="K268">
        <v>31</v>
      </c>
      <c r="L268">
        <v>30</v>
      </c>
      <c r="M268" s="48">
        <v>0.133333333333333</v>
      </c>
    </row>
    <row r="269" spans="1:13" x14ac:dyDescent="0.35">
      <c r="A269" t="s">
        <v>185</v>
      </c>
      <c r="B269" t="s">
        <v>13</v>
      </c>
      <c r="C269" t="s">
        <v>158</v>
      </c>
      <c r="D269" t="s">
        <v>146</v>
      </c>
      <c r="E269" t="s">
        <v>186</v>
      </c>
      <c r="F269" t="s">
        <v>19</v>
      </c>
      <c r="G269" t="s">
        <v>18</v>
      </c>
      <c r="H269">
        <v>4</v>
      </c>
      <c r="I269">
        <v>0</v>
      </c>
      <c r="J269">
        <v>1</v>
      </c>
      <c r="K269">
        <v>523</v>
      </c>
      <c r="L269">
        <v>523</v>
      </c>
      <c r="M269" s="48">
        <v>7.64818355640535E-3</v>
      </c>
    </row>
    <row r="270" spans="1:13" x14ac:dyDescent="0.35">
      <c r="A270" t="s">
        <v>185</v>
      </c>
      <c r="B270" t="s">
        <v>13</v>
      </c>
      <c r="C270" t="s">
        <v>157</v>
      </c>
      <c r="D270" t="s">
        <v>146</v>
      </c>
      <c r="E270" t="s">
        <v>186</v>
      </c>
      <c r="F270" t="s">
        <v>19</v>
      </c>
      <c r="G270" t="s">
        <v>18</v>
      </c>
      <c r="H270">
        <v>5</v>
      </c>
      <c r="I270">
        <v>0</v>
      </c>
      <c r="J270">
        <v>0</v>
      </c>
      <c r="K270">
        <v>594</v>
      </c>
      <c r="L270">
        <v>564</v>
      </c>
      <c r="M270" s="48">
        <v>8.8652482269503605E-3</v>
      </c>
    </row>
    <row r="271" spans="1:13" x14ac:dyDescent="0.35">
      <c r="A271" t="s">
        <v>185</v>
      </c>
      <c r="B271" t="s">
        <v>13</v>
      </c>
      <c r="C271" t="s">
        <v>150</v>
      </c>
      <c r="D271" t="s">
        <v>146</v>
      </c>
      <c r="E271" t="s">
        <v>186</v>
      </c>
      <c r="F271" t="s">
        <v>19</v>
      </c>
      <c r="G271" t="s">
        <v>18</v>
      </c>
      <c r="H271">
        <v>0</v>
      </c>
      <c r="I271">
        <v>0</v>
      </c>
      <c r="J271">
        <v>0</v>
      </c>
      <c r="K271">
        <v>61</v>
      </c>
      <c r="L271">
        <v>61</v>
      </c>
      <c r="M271" s="48">
        <v>0</v>
      </c>
    </row>
    <row r="272" spans="1:13" x14ac:dyDescent="0.35">
      <c r="A272" t="s">
        <v>185</v>
      </c>
      <c r="B272" t="s">
        <v>13</v>
      </c>
      <c r="C272" t="s">
        <v>148</v>
      </c>
      <c r="D272" t="s">
        <v>146</v>
      </c>
      <c r="E272" t="s">
        <v>186</v>
      </c>
      <c r="F272" t="s">
        <v>19</v>
      </c>
      <c r="G272" t="s">
        <v>18</v>
      </c>
      <c r="H272">
        <v>5</v>
      </c>
      <c r="I272">
        <v>0</v>
      </c>
      <c r="J272">
        <v>2</v>
      </c>
      <c r="K272">
        <v>209</v>
      </c>
      <c r="L272">
        <v>205</v>
      </c>
      <c r="M272" s="48">
        <v>2.4390243902439001E-2</v>
      </c>
    </row>
    <row r="273" spans="1:13" x14ac:dyDescent="0.35">
      <c r="A273" t="s">
        <v>185</v>
      </c>
      <c r="B273" t="s">
        <v>13</v>
      </c>
      <c r="C273" t="s">
        <v>153</v>
      </c>
      <c r="D273" t="s">
        <v>146</v>
      </c>
      <c r="E273" t="s">
        <v>186</v>
      </c>
      <c r="F273" t="s">
        <v>19</v>
      </c>
      <c r="G273" t="s">
        <v>18</v>
      </c>
      <c r="H273">
        <v>0</v>
      </c>
      <c r="I273">
        <v>0</v>
      </c>
      <c r="J273">
        <v>0</v>
      </c>
      <c r="K273">
        <v>19</v>
      </c>
      <c r="L273">
        <v>19</v>
      </c>
      <c r="M273" s="48">
        <v>0</v>
      </c>
    </row>
    <row r="274" spans="1:13" x14ac:dyDescent="0.35">
      <c r="A274" t="s">
        <v>185</v>
      </c>
      <c r="B274" t="s">
        <v>13</v>
      </c>
      <c r="C274" t="s">
        <v>145</v>
      </c>
      <c r="D274" t="s">
        <v>162</v>
      </c>
      <c r="E274" t="s">
        <v>187</v>
      </c>
      <c r="F274" t="s">
        <v>21</v>
      </c>
      <c r="G274" t="s">
        <v>181</v>
      </c>
      <c r="H274">
        <v>3</v>
      </c>
      <c r="I274">
        <v>0</v>
      </c>
      <c r="J274">
        <v>0</v>
      </c>
      <c r="K274">
        <v>21</v>
      </c>
      <c r="L274">
        <v>20</v>
      </c>
      <c r="M274" s="48">
        <v>0.15</v>
      </c>
    </row>
    <row r="275" spans="1:13" x14ac:dyDescent="0.35">
      <c r="A275" t="s">
        <v>185</v>
      </c>
      <c r="B275" t="s">
        <v>13</v>
      </c>
      <c r="C275" t="s">
        <v>149</v>
      </c>
      <c r="D275" t="s">
        <v>146</v>
      </c>
      <c r="E275" t="s">
        <v>187</v>
      </c>
      <c r="F275" t="s">
        <v>19</v>
      </c>
      <c r="G275" t="s">
        <v>18</v>
      </c>
      <c r="H275">
        <v>1</v>
      </c>
      <c r="I275">
        <v>0</v>
      </c>
      <c r="J275">
        <v>0</v>
      </c>
      <c r="K275">
        <v>174</v>
      </c>
      <c r="L275">
        <v>169</v>
      </c>
      <c r="M275" s="48">
        <v>5.9171597633136102E-3</v>
      </c>
    </row>
    <row r="276" spans="1:13" x14ac:dyDescent="0.35">
      <c r="A276" t="s">
        <v>185</v>
      </c>
      <c r="B276" t="s">
        <v>13</v>
      </c>
      <c r="C276" t="s">
        <v>153</v>
      </c>
      <c r="D276" t="s">
        <v>146</v>
      </c>
      <c r="E276" t="s">
        <v>187</v>
      </c>
      <c r="F276" t="s">
        <v>19</v>
      </c>
      <c r="G276" t="s">
        <v>18</v>
      </c>
      <c r="H276">
        <v>0</v>
      </c>
      <c r="I276">
        <v>0</v>
      </c>
      <c r="J276">
        <v>0</v>
      </c>
      <c r="K276">
        <v>27</v>
      </c>
      <c r="L276">
        <v>25</v>
      </c>
      <c r="M276" s="48">
        <v>0</v>
      </c>
    </row>
    <row r="277" spans="1:13" x14ac:dyDescent="0.35">
      <c r="A277" t="s">
        <v>185</v>
      </c>
      <c r="B277" t="s">
        <v>13</v>
      </c>
      <c r="C277" t="s">
        <v>150</v>
      </c>
      <c r="D277" t="s">
        <v>146</v>
      </c>
      <c r="E277" t="s">
        <v>187</v>
      </c>
      <c r="F277" t="s">
        <v>19</v>
      </c>
      <c r="G277" t="s">
        <v>18</v>
      </c>
      <c r="H277">
        <v>0</v>
      </c>
      <c r="I277">
        <v>0</v>
      </c>
      <c r="J277">
        <v>0</v>
      </c>
      <c r="K277">
        <v>62</v>
      </c>
      <c r="L277">
        <v>61</v>
      </c>
      <c r="M277" s="48">
        <v>0</v>
      </c>
    </row>
    <row r="278" spans="1:13" x14ac:dyDescent="0.35">
      <c r="A278" t="s">
        <v>185</v>
      </c>
      <c r="B278" t="s">
        <v>13</v>
      </c>
      <c r="C278" t="s">
        <v>151</v>
      </c>
      <c r="D278" t="s">
        <v>146</v>
      </c>
      <c r="E278" t="s">
        <v>187</v>
      </c>
      <c r="F278" t="s">
        <v>19</v>
      </c>
      <c r="G278" t="s">
        <v>18</v>
      </c>
      <c r="H278">
        <v>3</v>
      </c>
      <c r="I278">
        <v>0</v>
      </c>
      <c r="J278">
        <v>0</v>
      </c>
      <c r="K278">
        <v>83</v>
      </c>
      <c r="L278">
        <v>78</v>
      </c>
      <c r="M278" s="48">
        <v>3.8461538461538498E-2</v>
      </c>
    </row>
    <row r="279" spans="1:13" x14ac:dyDescent="0.35">
      <c r="A279" t="s">
        <v>185</v>
      </c>
      <c r="B279" t="s">
        <v>13</v>
      </c>
      <c r="C279" t="s">
        <v>152</v>
      </c>
      <c r="D279" t="s">
        <v>146</v>
      </c>
      <c r="E279" t="s">
        <v>187</v>
      </c>
      <c r="F279" t="s">
        <v>19</v>
      </c>
      <c r="G279" t="s">
        <v>18</v>
      </c>
      <c r="H279">
        <v>4</v>
      </c>
      <c r="I279">
        <v>0</v>
      </c>
      <c r="J279">
        <v>2</v>
      </c>
      <c r="K279">
        <v>25</v>
      </c>
      <c r="L279">
        <v>24</v>
      </c>
      <c r="M279" s="48">
        <v>0.16666666666666699</v>
      </c>
    </row>
    <row r="280" spans="1:13" x14ac:dyDescent="0.35">
      <c r="A280" t="s">
        <v>185</v>
      </c>
      <c r="B280" t="s">
        <v>13</v>
      </c>
      <c r="C280" t="s">
        <v>154</v>
      </c>
      <c r="D280" t="s">
        <v>146</v>
      </c>
      <c r="E280" t="s">
        <v>187</v>
      </c>
      <c r="F280" t="s">
        <v>19</v>
      </c>
      <c r="G280" t="s">
        <v>18</v>
      </c>
      <c r="H280">
        <v>0</v>
      </c>
      <c r="I280">
        <v>0</v>
      </c>
      <c r="J280">
        <v>0</v>
      </c>
      <c r="K280">
        <v>25</v>
      </c>
      <c r="L280">
        <v>20</v>
      </c>
      <c r="M280" s="48">
        <v>0</v>
      </c>
    </row>
    <row r="281" spans="1:13" x14ac:dyDescent="0.35">
      <c r="A281" t="s">
        <v>185</v>
      </c>
      <c r="B281" t="s">
        <v>13</v>
      </c>
      <c r="C281" t="s">
        <v>148</v>
      </c>
      <c r="D281" t="s">
        <v>146</v>
      </c>
      <c r="E281" t="s">
        <v>187</v>
      </c>
      <c r="F281" t="s">
        <v>19</v>
      </c>
      <c r="G281" t="s">
        <v>18</v>
      </c>
      <c r="H281">
        <v>7</v>
      </c>
      <c r="I281">
        <v>0</v>
      </c>
      <c r="J281">
        <v>2</v>
      </c>
      <c r="K281">
        <v>231</v>
      </c>
      <c r="L281">
        <v>227</v>
      </c>
      <c r="M281" s="48">
        <v>3.0837004405286299E-2</v>
      </c>
    </row>
    <row r="282" spans="1:13" x14ac:dyDescent="0.35">
      <c r="A282" t="s">
        <v>185</v>
      </c>
      <c r="B282" t="s">
        <v>13</v>
      </c>
      <c r="C282" t="s">
        <v>155</v>
      </c>
      <c r="D282" t="s">
        <v>146</v>
      </c>
      <c r="E282" t="s">
        <v>187</v>
      </c>
      <c r="F282" t="s">
        <v>19</v>
      </c>
      <c r="G282" t="s">
        <v>18</v>
      </c>
      <c r="H282">
        <v>3</v>
      </c>
      <c r="I282">
        <v>0</v>
      </c>
      <c r="J282">
        <v>1</v>
      </c>
      <c r="K282">
        <v>64</v>
      </c>
      <c r="L282">
        <v>64</v>
      </c>
      <c r="M282" s="48">
        <v>4.6875E-2</v>
      </c>
    </row>
    <row r="283" spans="1:13" x14ac:dyDescent="0.35">
      <c r="A283" t="s">
        <v>185</v>
      </c>
      <c r="B283" t="s">
        <v>13</v>
      </c>
      <c r="C283" t="s">
        <v>156</v>
      </c>
      <c r="D283" t="s">
        <v>146</v>
      </c>
      <c r="E283" t="s">
        <v>187</v>
      </c>
      <c r="F283" t="s">
        <v>19</v>
      </c>
      <c r="G283" t="s">
        <v>18</v>
      </c>
      <c r="H283">
        <v>9</v>
      </c>
      <c r="I283">
        <v>0</v>
      </c>
      <c r="J283">
        <v>3</v>
      </c>
      <c r="K283">
        <v>37</v>
      </c>
      <c r="L283">
        <v>33</v>
      </c>
      <c r="M283" s="48">
        <v>0.27272727272727298</v>
      </c>
    </row>
    <row r="284" spans="1:13" x14ac:dyDescent="0.35">
      <c r="A284" t="s">
        <v>185</v>
      </c>
      <c r="B284" t="s">
        <v>13</v>
      </c>
      <c r="C284" t="s">
        <v>157</v>
      </c>
      <c r="D284" t="s">
        <v>146</v>
      </c>
      <c r="E284" t="s">
        <v>187</v>
      </c>
      <c r="F284" t="s">
        <v>19</v>
      </c>
      <c r="G284" t="s">
        <v>18</v>
      </c>
      <c r="H284">
        <v>0</v>
      </c>
      <c r="I284">
        <v>0</v>
      </c>
      <c r="J284">
        <v>0</v>
      </c>
      <c r="K284">
        <v>557</v>
      </c>
      <c r="L284">
        <v>547</v>
      </c>
      <c r="M284" s="48">
        <v>0</v>
      </c>
    </row>
    <row r="285" spans="1:13" x14ac:dyDescent="0.35">
      <c r="A285" t="s">
        <v>185</v>
      </c>
      <c r="B285" t="s">
        <v>13</v>
      </c>
      <c r="C285" t="s">
        <v>158</v>
      </c>
      <c r="D285" t="s">
        <v>146</v>
      </c>
      <c r="E285" t="s">
        <v>187</v>
      </c>
      <c r="F285" t="s">
        <v>19</v>
      </c>
      <c r="G285" t="s">
        <v>18</v>
      </c>
      <c r="H285">
        <v>2</v>
      </c>
      <c r="I285">
        <v>0</v>
      </c>
      <c r="J285">
        <v>1</v>
      </c>
      <c r="K285">
        <v>542</v>
      </c>
      <c r="L285">
        <v>542</v>
      </c>
      <c r="M285" s="48">
        <v>3.6900369003690001E-3</v>
      </c>
    </row>
    <row r="286" spans="1:13" x14ac:dyDescent="0.35">
      <c r="A286" t="s">
        <v>185</v>
      </c>
      <c r="B286" t="s">
        <v>13</v>
      </c>
      <c r="C286" t="s">
        <v>145</v>
      </c>
      <c r="D286" t="s">
        <v>188</v>
      </c>
      <c r="E286" t="s">
        <v>189</v>
      </c>
      <c r="F286" t="s">
        <v>190</v>
      </c>
      <c r="G286" t="s">
        <v>191</v>
      </c>
      <c r="H286">
        <v>0</v>
      </c>
      <c r="I286">
        <v>0</v>
      </c>
      <c r="J286">
        <v>0</v>
      </c>
      <c r="K286">
        <v>14</v>
      </c>
      <c r="L286">
        <v>13</v>
      </c>
      <c r="M286" s="48">
        <v>0</v>
      </c>
    </row>
    <row r="287" spans="1:13" x14ac:dyDescent="0.35">
      <c r="A287" t="s">
        <v>185</v>
      </c>
      <c r="B287" t="s">
        <v>13</v>
      </c>
      <c r="C287" t="s">
        <v>150</v>
      </c>
      <c r="D287" t="s">
        <v>146</v>
      </c>
      <c r="E287" t="s">
        <v>192</v>
      </c>
      <c r="F287" t="s">
        <v>16</v>
      </c>
      <c r="G287" t="s">
        <v>18</v>
      </c>
      <c r="H287">
        <v>0</v>
      </c>
      <c r="I287">
        <v>0</v>
      </c>
      <c r="J287">
        <v>0</v>
      </c>
      <c r="K287">
        <v>85</v>
      </c>
      <c r="L287">
        <v>84</v>
      </c>
      <c r="M287" s="48">
        <v>0</v>
      </c>
    </row>
    <row r="288" spans="1:13" x14ac:dyDescent="0.35">
      <c r="A288" t="s">
        <v>185</v>
      </c>
      <c r="B288" t="s">
        <v>13</v>
      </c>
      <c r="C288" t="s">
        <v>148</v>
      </c>
      <c r="D288" t="s">
        <v>146</v>
      </c>
      <c r="E288" t="s">
        <v>193</v>
      </c>
      <c r="F288" t="s">
        <v>16</v>
      </c>
      <c r="G288" t="s">
        <v>18</v>
      </c>
      <c r="H288">
        <v>14</v>
      </c>
      <c r="I288">
        <v>2</v>
      </c>
      <c r="J288">
        <v>2</v>
      </c>
      <c r="K288">
        <v>227</v>
      </c>
      <c r="L288">
        <v>224</v>
      </c>
      <c r="M288" s="48">
        <v>6.25E-2</v>
      </c>
    </row>
    <row r="289" spans="1:13" x14ac:dyDescent="0.35">
      <c r="A289" t="s">
        <v>185</v>
      </c>
      <c r="B289" t="s">
        <v>13</v>
      </c>
      <c r="C289" t="s">
        <v>149</v>
      </c>
      <c r="D289" t="s">
        <v>146</v>
      </c>
      <c r="E289" t="s">
        <v>193</v>
      </c>
      <c r="F289" t="s">
        <v>16</v>
      </c>
      <c r="G289" t="s">
        <v>18</v>
      </c>
      <c r="H289">
        <v>0</v>
      </c>
      <c r="I289">
        <v>0</v>
      </c>
      <c r="J289">
        <v>0</v>
      </c>
      <c r="K289">
        <v>154</v>
      </c>
      <c r="L289">
        <v>149</v>
      </c>
      <c r="M289" s="48">
        <v>0</v>
      </c>
    </row>
    <row r="290" spans="1:13" x14ac:dyDescent="0.35">
      <c r="A290" t="s">
        <v>185</v>
      </c>
      <c r="B290" t="s">
        <v>13</v>
      </c>
      <c r="C290" t="s">
        <v>151</v>
      </c>
      <c r="D290" t="s">
        <v>146</v>
      </c>
      <c r="E290" t="s">
        <v>193</v>
      </c>
      <c r="F290" t="s">
        <v>16</v>
      </c>
      <c r="G290" t="s">
        <v>18</v>
      </c>
      <c r="H290">
        <v>0</v>
      </c>
      <c r="I290">
        <v>0</v>
      </c>
      <c r="J290">
        <v>0</v>
      </c>
      <c r="K290">
        <v>37</v>
      </c>
      <c r="L290">
        <v>33</v>
      </c>
      <c r="M290" s="48">
        <v>0</v>
      </c>
    </row>
    <row r="291" spans="1:13" x14ac:dyDescent="0.35">
      <c r="A291" t="s">
        <v>185</v>
      </c>
      <c r="B291" t="s">
        <v>13</v>
      </c>
      <c r="C291" t="s">
        <v>152</v>
      </c>
      <c r="D291" t="s">
        <v>146</v>
      </c>
      <c r="E291" t="s">
        <v>193</v>
      </c>
      <c r="F291" t="s">
        <v>16</v>
      </c>
      <c r="G291" t="s">
        <v>18</v>
      </c>
      <c r="H291">
        <v>2</v>
      </c>
      <c r="I291">
        <v>0</v>
      </c>
      <c r="J291">
        <v>1</v>
      </c>
      <c r="K291">
        <v>14</v>
      </c>
      <c r="L291">
        <v>13</v>
      </c>
      <c r="M291" s="48">
        <v>0.15384615384615399</v>
      </c>
    </row>
    <row r="292" spans="1:13" x14ac:dyDescent="0.35">
      <c r="A292" t="s">
        <v>185</v>
      </c>
      <c r="B292" t="s">
        <v>13</v>
      </c>
      <c r="C292" t="s">
        <v>153</v>
      </c>
      <c r="D292" t="s">
        <v>146</v>
      </c>
      <c r="E292" t="s">
        <v>193</v>
      </c>
      <c r="F292" t="s">
        <v>16</v>
      </c>
      <c r="G292" t="s">
        <v>18</v>
      </c>
      <c r="H292">
        <v>1</v>
      </c>
      <c r="I292">
        <v>0</v>
      </c>
      <c r="J292">
        <v>0</v>
      </c>
      <c r="K292">
        <v>16</v>
      </c>
      <c r="L292">
        <v>16</v>
      </c>
      <c r="M292" s="48">
        <v>6.25E-2</v>
      </c>
    </row>
    <row r="293" spans="1:13" x14ac:dyDescent="0.35">
      <c r="A293" t="s">
        <v>185</v>
      </c>
      <c r="B293" t="s">
        <v>13</v>
      </c>
      <c r="C293" t="s">
        <v>154</v>
      </c>
      <c r="D293" t="s">
        <v>146</v>
      </c>
      <c r="E293" t="s">
        <v>193</v>
      </c>
      <c r="F293" t="s">
        <v>16</v>
      </c>
      <c r="G293" t="s">
        <v>18</v>
      </c>
      <c r="H293">
        <v>0</v>
      </c>
      <c r="I293">
        <v>0</v>
      </c>
      <c r="J293">
        <v>0</v>
      </c>
      <c r="K293">
        <v>20</v>
      </c>
      <c r="L293">
        <v>14</v>
      </c>
      <c r="M293" s="48">
        <v>0</v>
      </c>
    </row>
    <row r="294" spans="1:13" x14ac:dyDescent="0.35">
      <c r="A294" t="s">
        <v>185</v>
      </c>
      <c r="B294" t="s">
        <v>13</v>
      </c>
      <c r="C294" t="s">
        <v>155</v>
      </c>
      <c r="D294" t="s">
        <v>146</v>
      </c>
      <c r="E294" t="s">
        <v>193</v>
      </c>
      <c r="F294" t="s">
        <v>16</v>
      </c>
      <c r="G294" t="s">
        <v>18</v>
      </c>
      <c r="H294">
        <v>3</v>
      </c>
      <c r="I294">
        <v>0</v>
      </c>
      <c r="J294">
        <v>2</v>
      </c>
      <c r="K294">
        <v>76</v>
      </c>
      <c r="L294">
        <v>75</v>
      </c>
      <c r="M294" s="48">
        <v>0.04</v>
      </c>
    </row>
    <row r="295" spans="1:13" x14ac:dyDescent="0.35">
      <c r="A295" t="s">
        <v>185</v>
      </c>
      <c r="B295" t="s">
        <v>13</v>
      </c>
      <c r="C295" t="s">
        <v>156</v>
      </c>
      <c r="D295" t="s">
        <v>146</v>
      </c>
      <c r="E295" t="s">
        <v>193</v>
      </c>
      <c r="F295" t="s">
        <v>16</v>
      </c>
      <c r="G295" t="s">
        <v>18</v>
      </c>
      <c r="H295">
        <v>5</v>
      </c>
      <c r="I295">
        <v>0</v>
      </c>
      <c r="J295">
        <v>2</v>
      </c>
      <c r="K295">
        <v>32</v>
      </c>
      <c r="L295">
        <v>29</v>
      </c>
      <c r="M295" s="48">
        <v>0.17241379310344801</v>
      </c>
    </row>
    <row r="296" spans="1:13" x14ac:dyDescent="0.35">
      <c r="A296" t="s">
        <v>185</v>
      </c>
      <c r="B296" t="s">
        <v>13</v>
      </c>
      <c r="C296" t="s">
        <v>157</v>
      </c>
      <c r="D296" t="s">
        <v>146</v>
      </c>
      <c r="E296" t="s">
        <v>193</v>
      </c>
      <c r="F296" t="s">
        <v>16</v>
      </c>
      <c r="G296" t="s">
        <v>18</v>
      </c>
      <c r="H296">
        <v>4</v>
      </c>
      <c r="I296">
        <v>0</v>
      </c>
      <c r="J296">
        <v>0</v>
      </c>
      <c r="K296">
        <v>546</v>
      </c>
      <c r="L296">
        <v>522</v>
      </c>
      <c r="M296" s="48">
        <v>7.6628352490421504E-3</v>
      </c>
    </row>
    <row r="297" spans="1:13" x14ac:dyDescent="0.35">
      <c r="A297" t="s">
        <v>185</v>
      </c>
      <c r="B297" t="s">
        <v>13</v>
      </c>
      <c r="C297" t="s">
        <v>158</v>
      </c>
      <c r="D297" t="s">
        <v>146</v>
      </c>
      <c r="E297" t="s">
        <v>193</v>
      </c>
      <c r="F297" t="s">
        <v>16</v>
      </c>
      <c r="G297" t="s">
        <v>18</v>
      </c>
      <c r="H297">
        <v>10</v>
      </c>
      <c r="I297">
        <v>0</v>
      </c>
      <c r="J297">
        <v>1</v>
      </c>
      <c r="K297">
        <v>569</v>
      </c>
      <c r="L297">
        <v>569</v>
      </c>
      <c r="M297" s="48">
        <v>1.75746924428823E-2</v>
      </c>
    </row>
    <row r="298" spans="1:13" x14ac:dyDescent="0.35">
      <c r="A298" t="s">
        <v>185</v>
      </c>
      <c r="B298" t="s">
        <v>13</v>
      </c>
      <c r="C298" t="s">
        <v>148</v>
      </c>
      <c r="D298" t="s">
        <v>146</v>
      </c>
      <c r="E298" t="s">
        <v>194</v>
      </c>
      <c r="F298" t="s">
        <v>16</v>
      </c>
      <c r="G298" t="s">
        <v>17</v>
      </c>
      <c r="H298">
        <v>8</v>
      </c>
      <c r="I298">
        <v>0</v>
      </c>
      <c r="J298">
        <v>2</v>
      </c>
      <c r="K298">
        <v>494</v>
      </c>
      <c r="L298">
        <v>484</v>
      </c>
      <c r="M298" s="48">
        <v>1.6528925619834701E-2</v>
      </c>
    </row>
    <row r="299" spans="1:13" x14ac:dyDescent="0.35">
      <c r="A299" t="s">
        <v>185</v>
      </c>
      <c r="B299" t="s">
        <v>13</v>
      </c>
      <c r="C299" t="s">
        <v>157</v>
      </c>
      <c r="D299" t="s">
        <v>146</v>
      </c>
      <c r="E299" t="s">
        <v>194</v>
      </c>
      <c r="F299" t="s">
        <v>16</v>
      </c>
      <c r="G299" t="s">
        <v>17</v>
      </c>
      <c r="H299">
        <v>3</v>
      </c>
      <c r="I299">
        <v>0</v>
      </c>
      <c r="J299">
        <v>0</v>
      </c>
      <c r="K299">
        <v>781</v>
      </c>
      <c r="L299">
        <v>781</v>
      </c>
      <c r="M299" s="48">
        <v>3.8412291933418701E-3</v>
      </c>
    </row>
    <row r="300" spans="1:13" x14ac:dyDescent="0.35">
      <c r="A300" t="s">
        <v>185</v>
      </c>
      <c r="B300" t="s">
        <v>13</v>
      </c>
      <c r="C300" t="s">
        <v>153</v>
      </c>
      <c r="D300" t="s">
        <v>146</v>
      </c>
      <c r="E300" t="s">
        <v>194</v>
      </c>
      <c r="F300" t="s">
        <v>16</v>
      </c>
      <c r="G300" t="s">
        <v>17</v>
      </c>
      <c r="H300">
        <v>0</v>
      </c>
      <c r="I300">
        <v>0</v>
      </c>
      <c r="J300">
        <v>0</v>
      </c>
      <c r="K300">
        <v>33</v>
      </c>
      <c r="L300">
        <v>33</v>
      </c>
      <c r="M300" s="48">
        <v>0</v>
      </c>
    </row>
    <row r="301" spans="1:13" x14ac:dyDescent="0.35">
      <c r="A301" t="s">
        <v>185</v>
      </c>
      <c r="B301" t="s">
        <v>13</v>
      </c>
      <c r="C301" t="s">
        <v>149</v>
      </c>
      <c r="D301" t="s">
        <v>146</v>
      </c>
      <c r="E301" t="s">
        <v>194</v>
      </c>
      <c r="F301" t="s">
        <v>16</v>
      </c>
      <c r="G301" t="s">
        <v>17</v>
      </c>
      <c r="H301">
        <v>6</v>
      </c>
      <c r="I301">
        <v>0</v>
      </c>
      <c r="J301">
        <v>0</v>
      </c>
      <c r="K301">
        <v>397</v>
      </c>
      <c r="L301">
        <v>384</v>
      </c>
      <c r="M301" s="48">
        <v>1.5625E-2</v>
      </c>
    </row>
    <row r="302" spans="1:13" x14ac:dyDescent="0.35">
      <c r="A302" t="s">
        <v>185</v>
      </c>
      <c r="B302" t="s">
        <v>13</v>
      </c>
      <c r="C302" t="s">
        <v>154</v>
      </c>
      <c r="D302" t="s">
        <v>146</v>
      </c>
      <c r="E302" t="s">
        <v>194</v>
      </c>
      <c r="F302" t="s">
        <v>16</v>
      </c>
      <c r="G302" t="s">
        <v>17</v>
      </c>
      <c r="H302">
        <v>0</v>
      </c>
      <c r="I302">
        <v>0</v>
      </c>
      <c r="J302">
        <v>0</v>
      </c>
      <c r="K302">
        <v>29</v>
      </c>
      <c r="L302">
        <v>22</v>
      </c>
      <c r="M302" s="48">
        <v>0</v>
      </c>
    </row>
    <row r="303" spans="1:13" x14ac:dyDescent="0.35">
      <c r="A303" t="s">
        <v>185</v>
      </c>
      <c r="B303" t="s">
        <v>13</v>
      </c>
      <c r="C303" t="s">
        <v>151</v>
      </c>
      <c r="D303" t="s">
        <v>146</v>
      </c>
      <c r="E303" t="s">
        <v>194</v>
      </c>
      <c r="F303" t="s">
        <v>16</v>
      </c>
      <c r="G303" t="s">
        <v>17</v>
      </c>
      <c r="H303">
        <v>2</v>
      </c>
      <c r="I303">
        <v>0</v>
      </c>
      <c r="J303">
        <v>0</v>
      </c>
      <c r="K303">
        <v>46</v>
      </c>
      <c r="L303">
        <v>42</v>
      </c>
      <c r="M303" s="48">
        <v>4.7619047619047603E-2</v>
      </c>
    </row>
    <row r="304" spans="1:13" x14ac:dyDescent="0.35">
      <c r="A304" t="s">
        <v>185</v>
      </c>
      <c r="B304" t="s">
        <v>13</v>
      </c>
      <c r="C304" t="s">
        <v>150</v>
      </c>
      <c r="D304" t="s">
        <v>146</v>
      </c>
      <c r="E304" t="s">
        <v>194</v>
      </c>
      <c r="F304" t="s">
        <v>16</v>
      </c>
      <c r="G304" t="s">
        <v>17</v>
      </c>
      <c r="H304">
        <v>0</v>
      </c>
      <c r="I304">
        <v>0</v>
      </c>
      <c r="J304">
        <v>0</v>
      </c>
      <c r="K304">
        <v>126</v>
      </c>
      <c r="L304">
        <v>125</v>
      </c>
      <c r="M304" s="48">
        <v>0</v>
      </c>
    </row>
    <row r="305" spans="1:13" x14ac:dyDescent="0.35">
      <c r="A305" t="s">
        <v>185</v>
      </c>
      <c r="B305" t="s">
        <v>13</v>
      </c>
      <c r="C305" t="s">
        <v>158</v>
      </c>
      <c r="D305" t="s">
        <v>146</v>
      </c>
      <c r="E305" t="s">
        <v>194</v>
      </c>
      <c r="F305" t="s">
        <v>16</v>
      </c>
      <c r="G305" t="s">
        <v>17</v>
      </c>
      <c r="H305">
        <v>7</v>
      </c>
      <c r="I305">
        <v>0</v>
      </c>
      <c r="J305">
        <v>3</v>
      </c>
      <c r="K305">
        <v>1069</v>
      </c>
      <c r="L305">
        <v>1066</v>
      </c>
      <c r="M305" s="48">
        <v>6.5666041275797404E-3</v>
      </c>
    </row>
    <row r="306" spans="1:13" x14ac:dyDescent="0.35">
      <c r="A306" t="s">
        <v>185</v>
      </c>
      <c r="B306" t="s">
        <v>13</v>
      </c>
      <c r="C306" t="s">
        <v>152</v>
      </c>
      <c r="D306" t="s">
        <v>146</v>
      </c>
      <c r="E306" t="s">
        <v>194</v>
      </c>
      <c r="F306" t="s">
        <v>16</v>
      </c>
      <c r="G306" t="s">
        <v>17</v>
      </c>
      <c r="H306">
        <v>1</v>
      </c>
      <c r="I306">
        <v>0</v>
      </c>
      <c r="J306">
        <v>1</v>
      </c>
      <c r="K306">
        <v>30</v>
      </c>
      <c r="L306">
        <v>29</v>
      </c>
      <c r="M306" s="48">
        <v>3.4482758620689703E-2</v>
      </c>
    </row>
    <row r="307" spans="1:13" x14ac:dyDescent="0.35">
      <c r="A307" t="s">
        <v>185</v>
      </c>
      <c r="B307" t="s">
        <v>13</v>
      </c>
      <c r="C307" t="s">
        <v>156</v>
      </c>
      <c r="D307" t="s">
        <v>146</v>
      </c>
      <c r="E307" t="s">
        <v>194</v>
      </c>
      <c r="F307" t="s">
        <v>16</v>
      </c>
      <c r="G307" t="s">
        <v>17</v>
      </c>
      <c r="H307">
        <v>3</v>
      </c>
      <c r="I307">
        <v>0</v>
      </c>
      <c r="J307">
        <v>1</v>
      </c>
      <c r="K307">
        <v>48</v>
      </c>
      <c r="L307">
        <v>43</v>
      </c>
      <c r="M307" s="48">
        <v>6.9767441860465101E-2</v>
      </c>
    </row>
    <row r="308" spans="1:13" x14ac:dyDescent="0.35">
      <c r="A308" t="s">
        <v>185</v>
      </c>
      <c r="B308" t="s">
        <v>13</v>
      </c>
      <c r="C308" t="s">
        <v>155</v>
      </c>
      <c r="D308" t="s">
        <v>146</v>
      </c>
      <c r="E308" t="s">
        <v>194</v>
      </c>
      <c r="F308" t="s">
        <v>16</v>
      </c>
      <c r="G308" t="s">
        <v>17</v>
      </c>
      <c r="H308">
        <v>2</v>
      </c>
      <c r="I308">
        <v>0</v>
      </c>
      <c r="J308">
        <v>1</v>
      </c>
      <c r="K308">
        <v>200</v>
      </c>
      <c r="L308">
        <v>200</v>
      </c>
      <c r="M308" s="48">
        <v>0.01</v>
      </c>
    </row>
    <row r="309" spans="1:13" x14ac:dyDescent="0.35">
      <c r="A309" t="s">
        <v>185</v>
      </c>
      <c r="B309" t="s">
        <v>13</v>
      </c>
      <c r="C309" t="s">
        <v>149</v>
      </c>
      <c r="D309" t="s">
        <v>146</v>
      </c>
      <c r="E309" t="s">
        <v>195</v>
      </c>
      <c r="F309" t="s">
        <v>16</v>
      </c>
      <c r="G309" t="s">
        <v>17</v>
      </c>
      <c r="H309">
        <v>4</v>
      </c>
      <c r="I309">
        <v>0</v>
      </c>
      <c r="J309">
        <v>0</v>
      </c>
      <c r="K309">
        <v>311</v>
      </c>
      <c r="L309">
        <v>303</v>
      </c>
      <c r="M309" s="48">
        <v>1.32013201320132E-2</v>
      </c>
    </row>
    <row r="310" spans="1:13" x14ac:dyDescent="0.35">
      <c r="A310" t="s">
        <v>185</v>
      </c>
      <c r="B310" t="s">
        <v>13</v>
      </c>
      <c r="C310" t="s">
        <v>150</v>
      </c>
      <c r="D310" t="s">
        <v>146</v>
      </c>
      <c r="E310" t="s">
        <v>195</v>
      </c>
      <c r="F310" t="s">
        <v>16</v>
      </c>
      <c r="G310" t="s">
        <v>17</v>
      </c>
      <c r="H310">
        <v>1</v>
      </c>
      <c r="I310">
        <v>0</v>
      </c>
      <c r="J310">
        <v>0</v>
      </c>
      <c r="K310">
        <v>62</v>
      </c>
      <c r="L310">
        <v>61</v>
      </c>
      <c r="M310" s="48">
        <v>1.63934426229508E-2</v>
      </c>
    </row>
    <row r="311" spans="1:13" x14ac:dyDescent="0.35">
      <c r="A311" t="s">
        <v>185</v>
      </c>
      <c r="B311" t="s">
        <v>13</v>
      </c>
      <c r="C311" t="s">
        <v>151</v>
      </c>
      <c r="D311" t="s">
        <v>146</v>
      </c>
      <c r="E311" t="s">
        <v>195</v>
      </c>
      <c r="F311" t="s">
        <v>16</v>
      </c>
      <c r="G311" t="s">
        <v>17</v>
      </c>
      <c r="H311">
        <v>176204</v>
      </c>
      <c r="I311">
        <v>0</v>
      </c>
      <c r="J311">
        <v>12</v>
      </c>
      <c r="K311">
        <v>673826</v>
      </c>
      <c r="L311">
        <v>661438</v>
      </c>
      <c r="M311" s="48">
        <v>0.26639533864096099</v>
      </c>
    </row>
    <row r="312" spans="1:13" x14ac:dyDescent="0.35">
      <c r="A312" t="s">
        <v>185</v>
      </c>
      <c r="B312" t="s">
        <v>13</v>
      </c>
      <c r="C312" t="s">
        <v>152</v>
      </c>
      <c r="D312" t="s">
        <v>146</v>
      </c>
      <c r="E312" t="s">
        <v>195</v>
      </c>
      <c r="F312" t="s">
        <v>16</v>
      </c>
      <c r="G312" t="s">
        <v>17</v>
      </c>
      <c r="H312">
        <v>5</v>
      </c>
      <c r="I312">
        <v>0</v>
      </c>
      <c r="J312">
        <v>2</v>
      </c>
      <c r="K312">
        <v>18</v>
      </c>
      <c r="L312">
        <v>17</v>
      </c>
      <c r="M312" s="48">
        <v>0.29411764705882398</v>
      </c>
    </row>
    <row r="313" spans="1:13" x14ac:dyDescent="0.35">
      <c r="A313" t="s">
        <v>185</v>
      </c>
      <c r="B313" t="s">
        <v>13</v>
      </c>
      <c r="C313" t="s">
        <v>153</v>
      </c>
      <c r="D313" t="s">
        <v>146</v>
      </c>
      <c r="E313" t="s">
        <v>195</v>
      </c>
      <c r="F313" t="s">
        <v>16</v>
      </c>
      <c r="G313" t="s">
        <v>17</v>
      </c>
      <c r="H313">
        <v>310752</v>
      </c>
      <c r="I313">
        <v>0</v>
      </c>
      <c r="J313">
        <v>3</v>
      </c>
      <c r="K313">
        <v>781817</v>
      </c>
      <c r="L313">
        <v>781817</v>
      </c>
      <c r="M313" s="48">
        <v>0.39747408920501898</v>
      </c>
    </row>
    <row r="314" spans="1:13" x14ac:dyDescent="0.35">
      <c r="A314" t="s">
        <v>185</v>
      </c>
      <c r="B314" t="s">
        <v>13</v>
      </c>
      <c r="C314" t="s">
        <v>154</v>
      </c>
      <c r="D314" t="s">
        <v>146</v>
      </c>
      <c r="E314" t="s">
        <v>195</v>
      </c>
      <c r="F314" t="s">
        <v>16</v>
      </c>
      <c r="G314" t="s">
        <v>17</v>
      </c>
      <c r="H314">
        <v>76171</v>
      </c>
      <c r="I314">
        <v>0</v>
      </c>
      <c r="J314">
        <v>5</v>
      </c>
      <c r="K314">
        <v>361399</v>
      </c>
      <c r="L314">
        <v>361399</v>
      </c>
      <c r="M314" s="48">
        <v>0.21076704694810999</v>
      </c>
    </row>
    <row r="315" spans="1:13" x14ac:dyDescent="0.35">
      <c r="A315" t="s">
        <v>185</v>
      </c>
      <c r="B315" t="s">
        <v>13</v>
      </c>
      <c r="C315" t="s">
        <v>148</v>
      </c>
      <c r="D315" t="s">
        <v>146</v>
      </c>
      <c r="E315" t="s">
        <v>195</v>
      </c>
      <c r="F315" t="s">
        <v>16</v>
      </c>
      <c r="G315" t="s">
        <v>17</v>
      </c>
      <c r="H315">
        <v>15</v>
      </c>
      <c r="I315">
        <v>0</v>
      </c>
      <c r="J315">
        <v>3</v>
      </c>
      <c r="K315">
        <v>312</v>
      </c>
      <c r="L315">
        <v>299</v>
      </c>
      <c r="M315" s="48">
        <v>5.0167224080267601E-2</v>
      </c>
    </row>
    <row r="316" spans="1:13" x14ac:dyDescent="0.35">
      <c r="A316" t="s">
        <v>185</v>
      </c>
      <c r="B316" t="s">
        <v>13</v>
      </c>
      <c r="C316" t="s">
        <v>155</v>
      </c>
      <c r="D316" t="s">
        <v>146</v>
      </c>
      <c r="E316" t="s">
        <v>195</v>
      </c>
      <c r="F316" t="s">
        <v>16</v>
      </c>
      <c r="G316" t="s">
        <v>17</v>
      </c>
      <c r="H316">
        <v>0</v>
      </c>
      <c r="I316">
        <v>0</v>
      </c>
      <c r="J316">
        <v>0</v>
      </c>
      <c r="K316">
        <v>64</v>
      </c>
      <c r="L316">
        <v>64</v>
      </c>
      <c r="M316" s="48">
        <v>0</v>
      </c>
    </row>
    <row r="317" spans="1:13" x14ac:dyDescent="0.35">
      <c r="A317" t="s">
        <v>185</v>
      </c>
      <c r="B317" t="s">
        <v>13</v>
      </c>
      <c r="C317" t="s">
        <v>156</v>
      </c>
      <c r="D317" t="s">
        <v>146</v>
      </c>
      <c r="E317" t="s">
        <v>195</v>
      </c>
      <c r="F317" t="s">
        <v>16</v>
      </c>
      <c r="G317" t="s">
        <v>17</v>
      </c>
      <c r="H317">
        <v>22169</v>
      </c>
      <c r="I317">
        <v>0</v>
      </c>
      <c r="J317">
        <v>1</v>
      </c>
      <c r="K317">
        <v>164465</v>
      </c>
      <c r="L317">
        <v>163974</v>
      </c>
      <c r="M317" s="48">
        <v>0.13519826313927799</v>
      </c>
    </row>
    <row r="318" spans="1:13" x14ac:dyDescent="0.35">
      <c r="A318" t="s">
        <v>185</v>
      </c>
      <c r="B318" t="s">
        <v>13</v>
      </c>
      <c r="C318" t="s">
        <v>157</v>
      </c>
      <c r="D318" t="s">
        <v>146</v>
      </c>
      <c r="E318" t="s">
        <v>195</v>
      </c>
      <c r="F318" t="s">
        <v>16</v>
      </c>
      <c r="G318" t="s">
        <v>17</v>
      </c>
      <c r="H318">
        <v>3</v>
      </c>
      <c r="I318">
        <v>0</v>
      </c>
      <c r="J318">
        <v>0</v>
      </c>
      <c r="K318">
        <v>629</v>
      </c>
      <c r="L318">
        <v>607</v>
      </c>
      <c r="M318" s="48">
        <v>4.9423393739703499E-3</v>
      </c>
    </row>
    <row r="319" spans="1:13" x14ac:dyDescent="0.35">
      <c r="A319" t="s">
        <v>185</v>
      </c>
      <c r="B319" t="s">
        <v>13</v>
      </c>
      <c r="C319" t="s">
        <v>158</v>
      </c>
      <c r="D319" t="s">
        <v>146</v>
      </c>
      <c r="E319" t="s">
        <v>195</v>
      </c>
      <c r="F319" t="s">
        <v>16</v>
      </c>
      <c r="G319" t="s">
        <v>17</v>
      </c>
      <c r="H319">
        <v>9</v>
      </c>
      <c r="I319">
        <v>0</v>
      </c>
      <c r="J319">
        <v>2</v>
      </c>
      <c r="K319">
        <v>667</v>
      </c>
      <c r="L319">
        <v>658</v>
      </c>
      <c r="M319" s="48">
        <v>1.3677811550152E-2</v>
      </c>
    </row>
    <row r="320" spans="1:13" x14ac:dyDescent="0.35">
      <c r="A320" t="s">
        <v>185</v>
      </c>
      <c r="B320" t="s">
        <v>13</v>
      </c>
      <c r="C320" t="s">
        <v>149</v>
      </c>
      <c r="D320" t="s">
        <v>146</v>
      </c>
      <c r="E320" t="s">
        <v>196</v>
      </c>
      <c r="F320" t="s">
        <v>16</v>
      </c>
      <c r="G320" t="s">
        <v>17</v>
      </c>
      <c r="H320">
        <v>0</v>
      </c>
      <c r="I320">
        <v>0</v>
      </c>
      <c r="J320">
        <v>0</v>
      </c>
      <c r="K320">
        <v>221</v>
      </c>
      <c r="L320">
        <v>212</v>
      </c>
      <c r="M320" s="48">
        <v>0</v>
      </c>
    </row>
    <row r="321" spans="1:13" x14ac:dyDescent="0.35">
      <c r="A321" t="s">
        <v>185</v>
      </c>
      <c r="B321" t="s">
        <v>13</v>
      </c>
      <c r="C321" t="s">
        <v>150</v>
      </c>
      <c r="D321" t="s">
        <v>146</v>
      </c>
      <c r="E321" t="s">
        <v>196</v>
      </c>
      <c r="F321" t="s">
        <v>16</v>
      </c>
      <c r="G321" t="s">
        <v>17</v>
      </c>
      <c r="H321">
        <v>4</v>
      </c>
      <c r="I321">
        <v>0</v>
      </c>
      <c r="J321">
        <v>0</v>
      </c>
      <c r="K321">
        <v>70</v>
      </c>
      <c r="L321">
        <v>70</v>
      </c>
      <c r="M321" s="48">
        <v>5.7142857142857099E-2</v>
      </c>
    </row>
    <row r="322" spans="1:13" x14ac:dyDescent="0.35">
      <c r="A322" t="s">
        <v>185</v>
      </c>
      <c r="B322" t="s">
        <v>13</v>
      </c>
      <c r="C322" t="s">
        <v>152</v>
      </c>
      <c r="D322" t="s">
        <v>146</v>
      </c>
      <c r="E322" t="s">
        <v>196</v>
      </c>
      <c r="F322" t="s">
        <v>16</v>
      </c>
      <c r="G322" t="s">
        <v>17</v>
      </c>
      <c r="H322">
        <v>5</v>
      </c>
      <c r="I322">
        <v>0</v>
      </c>
      <c r="J322">
        <v>3</v>
      </c>
      <c r="K322">
        <v>32</v>
      </c>
      <c r="L322">
        <v>30</v>
      </c>
      <c r="M322" s="48">
        <v>0.16666666666666699</v>
      </c>
    </row>
    <row r="323" spans="1:13" x14ac:dyDescent="0.35">
      <c r="A323" t="s">
        <v>185</v>
      </c>
      <c r="B323" t="s">
        <v>13</v>
      </c>
      <c r="C323" t="s">
        <v>148</v>
      </c>
      <c r="D323" t="s">
        <v>146</v>
      </c>
      <c r="E323" t="s">
        <v>196</v>
      </c>
      <c r="F323" t="s">
        <v>16</v>
      </c>
      <c r="G323" t="s">
        <v>17</v>
      </c>
      <c r="H323">
        <v>16</v>
      </c>
      <c r="I323">
        <v>0</v>
      </c>
      <c r="J323">
        <v>3</v>
      </c>
      <c r="K323">
        <v>488</v>
      </c>
      <c r="L323">
        <v>459</v>
      </c>
      <c r="M323" s="48">
        <v>3.4858387799564301E-2</v>
      </c>
    </row>
    <row r="324" spans="1:13" x14ac:dyDescent="0.35">
      <c r="A324" t="s">
        <v>185</v>
      </c>
      <c r="B324" t="s">
        <v>13</v>
      </c>
      <c r="C324" t="s">
        <v>155</v>
      </c>
      <c r="D324" t="s">
        <v>146</v>
      </c>
      <c r="E324" t="s">
        <v>196</v>
      </c>
      <c r="F324" t="s">
        <v>16</v>
      </c>
      <c r="G324" t="s">
        <v>17</v>
      </c>
      <c r="H324">
        <v>1</v>
      </c>
      <c r="I324">
        <v>0</v>
      </c>
      <c r="J324">
        <v>1</v>
      </c>
      <c r="K324">
        <v>180</v>
      </c>
      <c r="L324">
        <v>180</v>
      </c>
      <c r="M324" s="48">
        <v>5.5555555555555601E-3</v>
      </c>
    </row>
    <row r="325" spans="1:13" x14ac:dyDescent="0.35">
      <c r="A325" t="s">
        <v>185</v>
      </c>
      <c r="B325" t="s">
        <v>13</v>
      </c>
      <c r="C325" t="s">
        <v>157</v>
      </c>
      <c r="D325" t="s">
        <v>146</v>
      </c>
      <c r="E325" t="s">
        <v>196</v>
      </c>
      <c r="F325" t="s">
        <v>16</v>
      </c>
      <c r="G325" t="s">
        <v>17</v>
      </c>
      <c r="H325">
        <v>6</v>
      </c>
      <c r="I325">
        <v>0</v>
      </c>
      <c r="J325">
        <v>0</v>
      </c>
      <c r="K325">
        <v>726</v>
      </c>
      <c r="L325">
        <v>713</v>
      </c>
      <c r="M325" s="48">
        <v>8.4151472650771404E-3</v>
      </c>
    </row>
    <row r="326" spans="1:13" x14ac:dyDescent="0.35">
      <c r="A326" t="s">
        <v>185</v>
      </c>
      <c r="B326" t="s">
        <v>13</v>
      </c>
      <c r="C326" t="s">
        <v>158</v>
      </c>
      <c r="D326" t="s">
        <v>146</v>
      </c>
      <c r="E326" t="s">
        <v>196</v>
      </c>
      <c r="F326" t="s">
        <v>16</v>
      </c>
      <c r="G326" t="s">
        <v>17</v>
      </c>
      <c r="H326">
        <v>11</v>
      </c>
      <c r="I326">
        <v>0</v>
      </c>
      <c r="J326">
        <v>4</v>
      </c>
      <c r="K326">
        <v>1009</v>
      </c>
      <c r="L326">
        <v>1003</v>
      </c>
      <c r="M326" s="48">
        <v>1.09670987038883E-2</v>
      </c>
    </row>
    <row r="327" spans="1:13" x14ac:dyDescent="0.35">
      <c r="A327" t="s">
        <v>185</v>
      </c>
      <c r="B327" t="s">
        <v>36</v>
      </c>
      <c r="C327" t="s">
        <v>151</v>
      </c>
      <c r="D327" t="s">
        <v>146</v>
      </c>
      <c r="E327" t="s">
        <v>186</v>
      </c>
      <c r="F327" t="s">
        <v>19</v>
      </c>
      <c r="G327" t="s">
        <v>18</v>
      </c>
      <c r="H327">
        <v>1</v>
      </c>
      <c r="I327">
        <v>1</v>
      </c>
      <c r="J327">
        <v>0</v>
      </c>
      <c r="K327">
        <v>14</v>
      </c>
      <c r="L327">
        <v>14</v>
      </c>
      <c r="M327" s="48">
        <v>7.1428571428571397E-2</v>
      </c>
    </row>
    <row r="328" spans="1:13" x14ac:dyDescent="0.35">
      <c r="A328" t="s">
        <v>185</v>
      </c>
      <c r="B328" t="s">
        <v>36</v>
      </c>
      <c r="C328" t="s">
        <v>152</v>
      </c>
      <c r="D328" t="s">
        <v>146</v>
      </c>
      <c r="E328" t="s">
        <v>186</v>
      </c>
      <c r="F328" t="s">
        <v>19</v>
      </c>
      <c r="G328" t="s">
        <v>18</v>
      </c>
      <c r="H328">
        <v>9</v>
      </c>
      <c r="I328">
        <v>9</v>
      </c>
      <c r="J328">
        <v>0</v>
      </c>
      <c r="K328">
        <v>56</v>
      </c>
      <c r="L328">
        <v>48</v>
      </c>
      <c r="M328" s="48">
        <v>0.1875</v>
      </c>
    </row>
    <row r="329" spans="1:13" x14ac:dyDescent="0.35">
      <c r="A329" t="s">
        <v>185</v>
      </c>
      <c r="B329" t="s">
        <v>36</v>
      </c>
      <c r="C329" t="s">
        <v>154</v>
      </c>
      <c r="D329" t="s">
        <v>146</v>
      </c>
      <c r="E329" t="s">
        <v>186</v>
      </c>
      <c r="F329" t="s">
        <v>19</v>
      </c>
      <c r="G329" t="s">
        <v>18</v>
      </c>
      <c r="H329">
        <v>1</v>
      </c>
      <c r="I329">
        <v>1</v>
      </c>
      <c r="J329">
        <v>0</v>
      </c>
      <c r="K329">
        <v>16</v>
      </c>
      <c r="L329">
        <v>15</v>
      </c>
      <c r="M329" s="48">
        <v>6.6666666666666693E-2</v>
      </c>
    </row>
    <row r="330" spans="1:13" x14ac:dyDescent="0.35">
      <c r="A330" t="s">
        <v>185</v>
      </c>
      <c r="B330" t="s">
        <v>36</v>
      </c>
      <c r="C330" t="s">
        <v>155</v>
      </c>
      <c r="D330" t="s">
        <v>146</v>
      </c>
      <c r="E330" t="s">
        <v>186</v>
      </c>
      <c r="F330" t="s">
        <v>19</v>
      </c>
      <c r="G330" t="s">
        <v>18</v>
      </c>
      <c r="H330">
        <v>2</v>
      </c>
      <c r="I330">
        <v>2</v>
      </c>
      <c r="J330">
        <v>0</v>
      </c>
      <c r="K330">
        <v>7</v>
      </c>
      <c r="L330">
        <v>7</v>
      </c>
      <c r="M330" s="48">
        <v>0.28571428571428598</v>
      </c>
    </row>
    <row r="331" spans="1:13" x14ac:dyDescent="0.35">
      <c r="A331" t="s">
        <v>185</v>
      </c>
      <c r="B331" t="s">
        <v>36</v>
      </c>
      <c r="C331" t="s">
        <v>156</v>
      </c>
      <c r="D331" t="s">
        <v>146</v>
      </c>
      <c r="E331" t="s">
        <v>186</v>
      </c>
      <c r="F331" t="s">
        <v>19</v>
      </c>
      <c r="G331" t="s">
        <v>18</v>
      </c>
      <c r="H331">
        <v>2</v>
      </c>
      <c r="I331">
        <v>2</v>
      </c>
      <c r="J331">
        <v>0</v>
      </c>
      <c r="K331">
        <v>13</v>
      </c>
      <c r="L331">
        <v>13</v>
      </c>
      <c r="M331" s="48">
        <v>0.15384615384615399</v>
      </c>
    </row>
    <row r="332" spans="1:13" x14ac:dyDescent="0.35">
      <c r="A332" t="s">
        <v>185</v>
      </c>
      <c r="B332" t="s">
        <v>36</v>
      </c>
      <c r="C332" t="s">
        <v>158</v>
      </c>
      <c r="D332" t="s">
        <v>146</v>
      </c>
      <c r="E332" t="s">
        <v>186</v>
      </c>
      <c r="F332" t="s">
        <v>19</v>
      </c>
      <c r="G332" t="s">
        <v>18</v>
      </c>
      <c r="H332">
        <v>4</v>
      </c>
      <c r="I332">
        <v>4</v>
      </c>
      <c r="J332">
        <v>0</v>
      </c>
      <c r="K332">
        <v>48</v>
      </c>
      <c r="L332">
        <v>48</v>
      </c>
      <c r="M332" s="48">
        <v>8.3333333333333301E-2</v>
      </c>
    </row>
    <row r="333" spans="1:13" x14ac:dyDescent="0.35">
      <c r="A333" t="s">
        <v>185</v>
      </c>
      <c r="B333" t="s">
        <v>36</v>
      </c>
      <c r="C333" t="s">
        <v>157</v>
      </c>
      <c r="D333" t="s">
        <v>146</v>
      </c>
      <c r="E333" t="s">
        <v>186</v>
      </c>
      <c r="F333" t="s">
        <v>19</v>
      </c>
      <c r="G333" t="s">
        <v>18</v>
      </c>
      <c r="H333">
        <v>1</v>
      </c>
      <c r="I333">
        <v>1</v>
      </c>
      <c r="J333">
        <v>0</v>
      </c>
      <c r="K333">
        <v>11</v>
      </c>
      <c r="L333">
        <v>10</v>
      </c>
      <c r="M333" s="48">
        <v>0.1</v>
      </c>
    </row>
    <row r="334" spans="1:13" x14ac:dyDescent="0.35">
      <c r="A334" t="s">
        <v>185</v>
      </c>
      <c r="B334" t="s">
        <v>36</v>
      </c>
      <c r="C334" t="s">
        <v>150</v>
      </c>
      <c r="D334" t="s">
        <v>146</v>
      </c>
      <c r="E334" t="s">
        <v>186</v>
      </c>
      <c r="F334" t="s">
        <v>19</v>
      </c>
      <c r="G334" t="s">
        <v>18</v>
      </c>
      <c r="H334">
        <v>3</v>
      </c>
      <c r="I334">
        <v>3</v>
      </c>
      <c r="J334">
        <v>0</v>
      </c>
      <c r="K334">
        <v>23</v>
      </c>
      <c r="L334">
        <v>21</v>
      </c>
      <c r="M334" s="48">
        <v>0.14285714285714299</v>
      </c>
    </row>
    <row r="335" spans="1:13" x14ac:dyDescent="0.35">
      <c r="A335" t="s">
        <v>185</v>
      </c>
      <c r="B335" t="s">
        <v>36</v>
      </c>
      <c r="C335" t="s">
        <v>148</v>
      </c>
      <c r="D335" t="s">
        <v>146</v>
      </c>
      <c r="E335" t="s">
        <v>186</v>
      </c>
      <c r="F335" t="s">
        <v>19</v>
      </c>
      <c r="G335" t="s">
        <v>18</v>
      </c>
      <c r="H335">
        <v>7</v>
      </c>
      <c r="I335">
        <v>7</v>
      </c>
      <c r="J335">
        <v>0</v>
      </c>
      <c r="K335">
        <v>85</v>
      </c>
      <c r="L335">
        <v>83</v>
      </c>
      <c r="M335" s="48">
        <v>8.4337349397590397E-2</v>
      </c>
    </row>
    <row r="336" spans="1:13" x14ac:dyDescent="0.35">
      <c r="A336" t="s">
        <v>185</v>
      </c>
      <c r="B336" t="s">
        <v>36</v>
      </c>
      <c r="C336" t="s">
        <v>153</v>
      </c>
      <c r="D336" t="s">
        <v>146</v>
      </c>
      <c r="E336" t="s">
        <v>186</v>
      </c>
      <c r="F336" t="s">
        <v>19</v>
      </c>
      <c r="G336" t="s">
        <v>18</v>
      </c>
      <c r="H336">
        <v>1</v>
      </c>
      <c r="I336">
        <v>1</v>
      </c>
      <c r="J336">
        <v>0</v>
      </c>
      <c r="K336">
        <v>6</v>
      </c>
      <c r="L336">
        <v>6</v>
      </c>
      <c r="M336" s="48">
        <v>0.16666666666666699</v>
      </c>
    </row>
    <row r="337" spans="1:13" x14ac:dyDescent="0.35">
      <c r="A337" t="s">
        <v>185</v>
      </c>
      <c r="B337" t="s">
        <v>36</v>
      </c>
      <c r="C337" t="s">
        <v>145</v>
      </c>
      <c r="D337" t="s">
        <v>162</v>
      </c>
      <c r="E337" t="s">
        <v>187</v>
      </c>
      <c r="F337" t="s">
        <v>21</v>
      </c>
      <c r="G337" t="s">
        <v>181</v>
      </c>
      <c r="H337">
        <v>5</v>
      </c>
      <c r="I337">
        <v>5</v>
      </c>
      <c r="J337">
        <v>0</v>
      </c>
      <c r="K337">
        <v>32</v>
      </c>
      <c r="L337">
        <v>26</v>
      </c>
      <c r="M337" s="48">
        <v>0.19230769230769201</v>
      </c>
    </row>
    <row r="338" spans="1:13" x14ac:dyDescent="0.35">
      <c r="A338" t="s">
        <v>185</v>
      </c>
      <c r="B338" t="s">
        <v>36</v>
      </c>
      <c r="C338" t="s">
        <v>153</v>
      </c>
      <c r="D338" t="s">
        <v>146</v>
      </c>
      <c r="E338" t="s">
        <v>187</v>
      </c>
      <c r="F338" t="s">
        <v>19</v>
      </c>
      <c r="G338" t="s">
        <v>18</v>
      </c>
      <c r="H338">
        <v>0</v>
      </c>
      <c r="I338">
        <v>0</v>
      </c>
      <c r="J338">
        <v>0</v>
      </c>
      <c r="K338">
        <v>5</v>
      </c>
      <c r="L338">
        <v>5</v>
      </c>
      <c r="M338" s="48">
        <v>0</v>
      </c>
    </row>
    <row r="339" spans="1:13" x14ac:dyDescent="0.35">
      <c r="A339" t="s">
        <v>185</v>
      </c>
      <c r="B339" t="s">
        <v>36</v>
      </c>
      <c r="C339" t="s">
        <v>150</v>
      </c>
      <c r="D339" t="s">
        <v>146</v>
      </c>
      <c r="E339" t="s">
        <v>187</v>
      </c>
      <c r="F339" t="s">
        <v>19</v>
      </c>
      <c r="G339" t="s">
        <v>18</v>
      </c>
      <c r="H339">
        <v>2</v>
      </c>
      <c r="I339">
        <v>2</v>
      </c>
      <c r="J339">
        <v>0</v>
      </c>
      <c r="K339">
        <v>10</v>
      </c>
      <c r="L339">
        <v>8</v>
      </c>
      <c r="M339" s="48">
        <v>0.25</v>
      </c>
    </row>
    <row r="340" spans="1:13" x14ac:dyDescent="0.35">
      <c r="A340" t="s">
        <v>185</v>
      </c>
      <c r="B340" t="s">
        <v>36</v>
      </c>
      <c r="C340" t="s">
        <v>151</v>
      </c>
      <c r="D340" t="s">
        <v>146</v>
      </c>
      <c r="E340" t="s">
        <v>187</v>
      </c>
      <c r="F340" t="s">
        <v>19</v>
      </c>
      <c r="G340" t="s">
        <v>18</v>
      </c>
      <c r="H340">
        <v>0</v>
      </c>
      <c r="I340">
        <v>0</v>
      </c>
      <c r="J340">
        <v>0</v>
      </c>
      <c r="K340">
        <v>16</v>
      </c>
      <c r="L340">
        <v>15</v>
      </c>
      <c r="M340" s="48">
        <v>0</v>
      </c>
    </row>
    <row r="341" spans="1:13" x14ac:dyDescent="0.35">
      <c r="A341" t="s">
        <v>185</v>
      </c>
      <c r="B341" t="s">
        <v>36</v>
      </c>
      <c r="C341" t="s">
        <v>152</v>
      </c>
      <c r="D341" t="s">
        <v>146</v>
      </c>
      <c r="E341" t="s">
        <v>187</v>
      </c>
      <c r="F341" t="s">
        <v>19</v>
      </c>
      <c r="G341" t="s">
        <v>18</v>
      </c>
      <c r="H341">
        <v>10</v>
      </c>
      <c r="I341">
        <v>10</v>
      </c>
      <c r="J341">
        <v>0</v>
      </c>
      <c r="K341">
        <v>70</v>
      </c>
      <c r="L341">
        <v>66</v>
      </c>
      <c r="M341" s="48">
        <v>0.15151515151515199</v>
      </c>
    </row>
    <row r="342" spans="1:13" x14ac:dyDescent="0.35">
      <c r="A342" t="s">
        <v>185</v>
      </c>
      <c r="B342" t="s">
        <v>36</v>
      </c>
      <c r="C342" t="s">
        <v>154</v>
      </c>
      <c r="D342" t="s">
        <v>146</v>
      </c>
      <c r="E342" t="s">
        <v>187</v>
      </c>
      <c r="F342" t="s">
        <v>19</v>
      </c>
      <c r="G342" t="s">
        <v>18</v>
      </c>
      <c r="H342">
        <v>1</v>
      </c>
      <c r="I342">
        <v>1</v>
      </c>
      <c r="J342">
        <v>0</v>
      </c>
      <c r="K342">
        <v>14</v>
      </c>
      <c r="L342">
        <v>14</v>
      </c>
      <c r="M342" s="48">
        <v>7.1428571428571397E-2</v>
      </c>
    </row>
    <row r="343" spans="1:13" x14ac:dyDescent="0.35">
      <c r="A343" t="s">
        <v>185</v>
      </c>
      <c r="B343" t="s">
        <v>36</v>
      </c>
      <c r="C343" t="s">
        <v>148</v>
      </c>
      <c r="D343" t="s">
        <v>146</v>
      </c>
      <c r="E343" t="s">
        <v>187</v>
      </c>
      <c r="F343" t="s">
        <v>19</v>
      </c>
      <c r="G343" t="s">
        <v>18</v>
      </c>
      <c r="H343">
        <v>11</v>
      </c>
      <c r="I343">
        <v>11</v>
      </c>
      <c r="J343">
        <v>0</v>
      </c>
      <c r="K343">
        <v>135</v>
      </c>
      <c r="L343">
        <v>126</v>
      </c>
      <c r="M343" s="48">
        <v>8.7301587301587297E-2</v>
      </c>
    </row>
    <row r="344" spans="1:13" x14ac:dyDescent="0.35">
      <c r="A344" t="s">
        <v>185</v>
      </c>
      <c r="B344" t="s">
        <v>36</v>
      </c>
      <c r="C344" t="s">
        <v>155</v>
      </c>
      <c r="D344" t="s">
        <v>146</v>
      </c>
      <c r="E344" t="s">
        <v>187</v>
      </c>
      <c r="F344" t="s">
        <v>19</v>
      </c>
      <c r="G344" t="s">
        <v>18</v>
      </c>
      <c r="H344">
        <v>0</v>
      </c>
      <c r="I344">
        <v>0</v>
      </c>
      <c r="J344">
        <v>0</v>
      </c>
      <c r="K344">
        <v>7</v>
      </c>
      <c r="L344">
        <v>7</v>
      </c>
      <c r="M344" s="48">
        <v>0</v>
      </c>
    </row>
    <row r="345" spans="1:13" x14ac:dyDescent="0.35">
      <c r="A345" t="s">
        <v>185</v>
      </c>
      <c r="B345" t="s">
        <v>36</v>
      </c>
      <c r="C345" t="s">
        <v>156</v>
      </c>
      <c r="D345" t="s">
        <v>146</v>
      </c>
      <c r="E345" t="s">
        <v>187</v>
      </c>
      <c r="F345" t="s">
        <v>19</v>
      </c>
      <c r="G345" t="s">
        <v>18</v>
      </c>
      <c r="H345">
        <v>1</v>
      </c>
      <c r="I345">
        <v>1</v>
      </c>
      <c r="J345">
        <v>0</v>
      </c>
      <c r="K345">
        <v>13</v>
      </c>
      <c r="L345">
        <v>13</v>
      </c>
      <c r="M345" s="48">
        <v>7.69230769230769E-2</v>
      </c>
    </row>
    <row r="346" spans="1:13" x14ac:dyDescent="0.35">
      <c r="A346" t="s">
        <v>185</v>
      </c>
      <c r="B346" t="s">
        <v>36</v>
      </c>
      <c r="C346" t="s">
        <v>157</v>
      </c>
      <c r="D346" t="s">
        <v>146</v>
      </c>
      <c r="E346" t="s">
        <v>187</v>
      </c>
      <c r="F346" t="s">
        <v>19</v>
      </c>
      <c r="G346" t="s">
        <v>18</v>
      </c>
      <c r="H346">
        <v>0</v>
      </c>
      <c r="I346">
        <v>0</v>
      </c>
      <c r="J346">
        <v>0</v>
      </c>
      <c r="K346">
        <v>6</v>
      </c>
      <c r="L346">
        <v>6</v>
      </c>
      <c r="M346" s="48">
        <v>0</v>
      </c>
    </row>
    <row r="347" spans="1:13" x14ac:dyDescent="0.35">
      <c r="A347" t="s">
        <v>185</v>
      </c>
      <c r="B347" t="s">
        <v>36</v>
      </c>
      <c r="C347" t="s">
        <v>158</v>
      </c>
      <c r="D347" t="s">
        <v>146</v>
      </c>
      <c r="E347" t="s">
        <v>187</v>
      </c>
      <c r="F347" t="s">
        <v>19</v>
      </c>
      <c r="G347" t="s">
        <v>18</v>
      </c>
      <c r="H347">
        <v>3</v>
      </c>
      <c r="I347">
        <v>3</v>
      </c>
      <c r="J347">
        <v>0</v>
      </c>
      <c r="K347">
        <v>38</v>
      </c>
      <c r="L347">
        <v>38</v>
      </c>
      <c r="M347" s="48">
        <v>7.8947368421052599E-2</v>
      </c>
    </row>
    <row r="348" spans="1:13" x14ac:dyDescent="0.35">
      <c r="A348" t="s">
        <v>185</v>
      </c>
      <c r="B348" t="s">
        <v>36</v>
      </c>
      <c r="C348" t="s">
        <v>150</v>
      </c>
      <c r="D348" t="s">
        <v>146</v>
      </c>
      <c r="E348" t="s">
        <v>192</v>
      </c>
      <c r="F348" t="s">
        <v>16</v>
      </c>
      <c r="G348" t="s">
        <v>18</v>
      </c>
      <c r="H348">
        <v>3</v>
      </c>
      <c r="I348">
        <v>3</v>
      </c>
      <c r="J348">
        <v>0</v>
      </c>
      <c r="K348">
        <v>12</v>
      </c>
      <c r="L348">
        <v>9</v>
      </c>
      <c r="M348" s="48">
        <v>0.33333333333333298</v>
      </c>
    </row>
    <row r="349" spans="1:13" x14ac:dyDescent="0.35">
      <c r="A349" t="s">
        <v>185</v>
      </c>
      <c r="B349" t="s">
        <v>36</v>
      </c>
      <c r="C349" t="s">
        <v>148</v>
      </c>
      <c r="D349" t="s">
        <v>146</v>
      </c>
      <c r="E349" t="s">
        <v>193</v>
      </c>
      <c r="F349" t="s">
        <v>16</v>
      </c>
      <c r="G349" t="s">
        <v>18</v>
      </c>
      <c r="H349">
        <v>11</v>
      </c>
      <c r="I349">
        <v>9</v>
      </c>
      <c r="J349">
        <v>2</v>
      </c>
      <c r="K349">
        <v>178</v>
      </c>
      <c r="L349">
        <v>171</v>
      </c>
      <c r="M349" s="48">
        <v>6.4327485380116997E-2</v>
      </c>
    </row>
    <row r="350" spans="1:13" x14ac:dyDescent="0.35">
      <c r="A350" t="s">
        <v>185</v>
      </c>
      <c r="B350" t="s">
        <v>36</v>
      </c>
      <c r="C350" t="s">
        <v>151</v>
      </c>
      <c r="D350" t="s">
        <v>146</v>
      </c>
      <c r="E350" t="s">
        <v>193</v>
      </c>
      <c r="F350" t="s">
        <v>16</v>
      </c>
      <c r="G350" t="s">
        <v>18</v>
      </c>
      <c r="H350">
        <v>1</v>
      </c>
      <c r="I350">
        <v>1</v>
      </c>
      <c r="J350">
        <v>0</v>
      </c>
      <c r="K350">
        <v>14</v>
      </c>
      <c r="L350">
        <v>14</v>
      </c>
      <c r="M350" s="48">
        <v>7.1428571428571397E-2</v>
      </c>
    </row>
    <row r="351" spans="1:13" x14ac:dyDescent="0.35">
      <c r="A351" t="s">
        <v>185</v>
      </c>
      <c r="B351" t="s">
        <v>36</v>
      </c>
      <c r="C351" t="s">
        <v>152</v>
      </c>
      <c r="D351" t="s">
        <v>146</v>
      </c>
      <c r="E351" t="s">
        <v>193</v>
      </c>
      <c r="F351" t="s">
        <v>16</v>
      </c>
      <c r="G351" t="s">
        <v>18</v>
      </c>
      <c r="H351">
        <v>13</v>
      </c>
      <c r="I351">
        <v>13</v>
      </c>
      <c r="J351">
        <v>0</v>
      </c>
      <c r="K351">
        <v>89</v>
      </c>
      <c r="L351">
        <v>82</v>
      </c>
      <c r="M351" s="48">
        <v>0.15853658536585399</v>
      </c>
    </row>
    <row r="352" spans="1:13" x14ac:dyDescent="0.35">
      <c r="A352" t="s">
        <v>185</v>
      </c>
      <c r="B352" t="s">
        <v>36</v>
      </c>
      <c r="C352" t="s">
        <v>153</v>
      </c>
      <c r="D352" t="s">
        <v>146</v>
      </c>
      <c r="E352" t="s">
        <v>193</v>
      </c>
      <c r="F352" t="s">
        <v>16</v>
      </c>
      <c r="G352" t="s">
        <v>18</v>
      </c>
      <c r="H352">
        <v>1</v>
      </c>
      <c r="I352">
        <v>1</v>
      </c>
      <c r="J352">
        <v>0</v>
      </c>
      <c r="K352">
        <v>5</v>
      </c>
      <c r="L352">
        <v>5</v>
      </c>
      <c r="M352" s="48">
        <v>0.2</v>
      </c>
    </row>
    <row r="353" spans="1:13" x14ac:dyDescent="0.35">
      <c r="A353" t="s">
        <v>185</v>
      </c>
      <c r="B353" t="s">
        <v>36</v>
      </c>
      <c r="C353" t="s">
        <v>154</v>
      </c>
      <c r="D353" t="s">
        <v>146</v>
      </c>
      <c r="E353" t="s">
        <v>193</v>
      </c>
      <c r="F353" t="s">
        <v>16</v>
      </c>
      <c r="G353" t="s">
        <v>18</v>
      </c>
      <c r="H353">
        <v>0</v>
      </c>
      <c r="I353">
        <v>0</v>
      </c>
      <c r="J353">
        <v>0</v>
      </c>
      <c r="K353">
        <v>9</v>
      </c>
      <c r="L353">
        <v>9</v>
      </c>
      <c r="M353" s="48">
        <v>0</v>
      </c>
    </row>
    <row r="354" spans="1:13" x14ac:dyDescent="0.35">
      <c r="A354" t="s">
        <v>185</v>
      </c>
      <c r="B354" t="s">
        <v>36</v>
      </c>
      <c r="C354" t="s">
        <v>155</v>
      </c>
      <c r="D354" t="s">
        <v>146</v>
      </c>
      <c r="E354" t="s">
        <v>193</v>
      </c>
      <c r="F354" t="s">
        <v>16</v>
      </c>
      <c r="G354" t="s">
        <v>18</v>
      </c>
      <c r="H354">
        <v>2</v>
      </c>
      <c r="I354">
        <v>2</v>
      </c>
      <c r="J354">
        <v>0</v>
      </c>
      <c r="K354">
        <v>7</v>
      </c>
      <c r="L354">
        <v>7</v>
      </c>
      <c r="M354" s="48">
        <v>0.28571428571428598</v>
      </c>
    </row>
    <row r="355" spans="1:13" x14ac:dyDescent="0.35">
      <c r="A355" t="s">
        <v>185</v>
      </c>
      <c r="B355" t="s">
        <v>36</v>
      </c>
      <c r="C355" t="s">
        <v>156</v>
      </c>
      <c r="D355" t="s">
        <v>146</v>
      </c>
      <c r="E355" t="s">
        <v>193</v>
      </c>
      <c r="F355" t="s">
        <v>16</v>
      </c>
      <c r="G355" t="s">
        <v>18</v>
      </c>
      <c r="H355">
        <v>1</v>
      </c>
      <c r="I355">
        <v>1</v>
      </c>
      <c r="J355">
        <v>0</v>
      </c>
      <c r="K355">
        <v>13</v>
      </c>
      <c r="L355">
        <v>11</v>
      </c>
      <c r="M355" s="48">
        <v>9.0909090909090898E-2</v>
      </c>
    </row>
    <row r="356" spans="1:13" x14ac:dyDescent="0.35">
      <c r="A356" t="s">
        <v>185</v>
      </c>
      <c r="B356" t="s">
        <v>36</v>
      </c>
      <c r="C356" t="s">
        <v>157</v>
      </c>
      <c r="D356" t="s">
        <v>146</v>
      </c>
      <c r="E356" t="s">
        <v>193</v>
      </c>
      <c r="F356" t="s">
        <v>16</v>
      </c>
      <c r="G356" t="s">
        <v>18</v>
      </c>
      <c r="H356">
        <v>0</v>
      </c>
      <c r="I356">
        <v>0</v>
      </c>
      <c r="J356">
        <v>0</v>
      </c>
      <c r="K356">
        <v>15</v>
      </c>
      <c r="L356">
        <v>14</v>
      </c>
      <c r="M356" s="48">
        <v>0</v>
      </c>
    </row>
    <row r="357" spans="1:13" x14ac:dyDescent="0.35">
      <c r="A357" t="s">
        <v>185</v>
      </c>
      <c r="B357" t="s">
        <v>36</v>
      </c>
      <c r="C357" t="s">
        <v>158</v>
      </c>
      <c r="D357" t="s">
        <v>146</v>
      </c>
      <c r="E357" t="s">
        <v>193</v>
      </c>
      <c r="F357" t="s">
        <v>16</v>
      </c>
      <c r="G357" t="s">
        <v>18</v>
      </c>
      <c r="H357">
        <v>2</v>
      </c>
      <c r="I357">
        <v>2</v>
      </c>
      <c r="J357">
        <v>0</v>
      </c>
      <c r="K357">
        <v>35</v>
      </c>
      <c r="L357">
        <v>33</v>
      </c>
      <c r="M357" s="48">
        <v>6.0606060606060601E-2</v>
      </c>
    </row>
    <row r="358" spans="1:13" x14ac:dyDescent="0.35">
      <c r="A358" t="s">
        <v>185</v>
      </c>
      <c r="B358" t="s">
        <v>36</v>
      </c>
      <c r="C358" t="s">
        <v>150</v>
      </c>
      <c r="D358" t="s">
        <v>146</v>
      </c>
      <c r="E358" t="s">
        <v>194</v>
      </c>
      <c r="F358" t="s">
        <v>16</v>
      </c>
      <c r="G358" t="s">
        <v>17</v>
      </c>
      <c r="H358">
        <v>3</v>
      </c>
      <c r="I358">
        <v>2</v>
      </c>
      <c r="J358">
        <v>0</v>
      </c>
      <c r="K358">
        <v>10</v>
      </c>
      <c r="L358">
        <v>9</v>
      </c>
      <c r="M358" s="48">
        <v>0.33333333333333298</v>
      </c>
    </row>
    <row r="359" spans="1:13" x14ac:dyDescent="0.35">
      <c r="A359" t="s">
        <v>185</v>
      </c>
      <c r="B359" t="s">
        <v>36</v>
      </c>
      <c r="C359" t="s">
        <v>155</v>
      </c>
      <c r="D359" t="s">
        <v>146</v>
      </c>
      <c r="E359" t="s">
        <v>194</v>
      </c>
      <c r="F359" t="s">
        <v>16</v>
      </c>
      <c r="G359" t="s">
        <v>17</v>
      </c>
      <c r="H359">
        <v>2</v>
      </c>
      <c r="I359">
        <v>2</v>
      </c>
      <c r="J359">
        <v>0</v>
      </c>
      <c r="K359">
        <v>12</v>
      </c>
      <c r="L359">
        <v>12</v>
      </c>
      <c r="M359" s="48">
        <v>0.16666666666666699</v>
      </c>
    </row>
    <row r="360" spans="1:13" x14ac:dyDescent="0.35">
      <c r="A360" t="s">
        <v>185</v>
      </c>
      <c r="B360" t="s">
        <v>36</v>
      </c>
      <c r="C360" t="s">
        <v>156</v>
      </c>
      <c r="D360" t="s">
        <v>146</v>
      </c>
      <c r="E360" t="s">
        <v>194</v>
      </c>
      <c r="F360" t="s">
        <v>16</v>
      </c>
      <c r="G360" t="s">
        <v>17</v>
      </c>
      <c r="H360">
        <v>1</v>
      </c>
      <c r="I360">
        <v>1</v>
      </c>
      <c r="J360">
        <v>0</v>
      </c>
      <c r="K360">
        <v>9</v>
      </c>
      <c r="L360">
        <v>9</v>
      </c>
      <c r="M360" s="48">
        <v>0.11111111111111099</v>
      </c>
    </row>
    <row r="361" spans="1:13" x14ac:dyDescent="0.35">
      <c r="A361" t="s">
        <v>185</v>
      </c>
      <c r="B361" t="s">
        <v>36</v>
      </c>
      <c r="C361" t="s">
        <v>153</v>
      </c>
      <c r="D361" t="s">
        <v>146</v>
      </c>
      <c r="E361" t="s">
        <v>194</v>
      </c>
      <c r="F361" t="s">
        <v>16</v>
      </c>
      <c r="G361" t="s">
        <v>17</v>
      </c>
      <c r="H361">
        <v>0</v>
      </c>
      <c r="I361">
        <v>0</v>
      </c>
      <c r="J361">
        <v>0</v>
      </c>
      <c r="K361">
        <v>7</v>
      </c>
      <c r="L361">
        <v>5</v>
      </c>
      <c r="M361" s="48">
        <v>0</v>
      </c>
    </row>
    <row r="362" spans="1:13" x14ac:dyDescent="0.35">
      <c r="A362" t="s">
        <v>185</v>
      </c>
      <c r="B362" t="s">
        <v>36</v>
      </c>
      <c r="C362" t="s">
        <v>151</v>
      </c>
      <c r="D362" t="s">
        <v>146</v>
      </c>
      <c r="E362" t="s">
        <v>194</v>
      </c>
      <c r="F362" t="s">
        <v>16</v>
      </c>
      <c r="G362" t="s">
        <v>17</v>
      </c>
      <c r="H362">
        <v>0</v>
      </c>
      <c r="I362">
        <v>0</v>
      </c>
      <c r="J362">
        <v>0</v>
      </c>
      <c r="K362">
        <v>14</v>
      </c>
      <c r="L362">
        <v>14</v>
      </c>
      <c r="M362" s="48">
        <v>0</v>
      </c>
    </row>
    <row r="363" spans="1:13" x14ac:dyDescent="0.35">
      <c r="A363" t="s">
        <v>185</v>
      </c>
      <c r="B363" t="s">
        <v>36</v>
      </c>
      <c r="C363" t="s">
        <v>158</v>
      </c>
      <c r="D363" t="s">
        <v>146</v>
      </c>
      <c r="E363" t="s">
        <v>194</v>
      </c>
      <c r="F363" t="s">
        <v>16</v>
      </c>
      <c r="G363" t="s">
        <v>17</v>
      </c>
      <c r="H363">
        <v>1</v>
      </c>
      <c r="I363">
        <v>1</v>
      </c>
      <c r="J363">
        <v>0</v>
      </c>
      <c r="K363">
        <v>60</v>
      </c>
      <c r="L363">
        <v>56</v>
      </c>
      <c r="M363" s="48">
        <v>1.7857142857142901E-2</v>
      </c>
    </row>
    <row r="364" spans="1:13" x14ac:dyDescent="0.35">
      <c r="A364" t="s">
        <v>185</v>
      </c>
      <c r="B364" t="s">
        <v>36</v>
      </c>
      <c r="C364" t="s">
        <v>148</v>
      </c>
      <c r="D364" t="s">
        <v>146</v>
      </c>
      <c r="E364" t="s">
        <v>194</v>
      </c>
      <c r="F364" t="s">
        <v>16</v>
      </c>
      <c r="G364" t="s">
        <v>17</v>
      </c>
      <c r="H364">
        <v>7</v>
      </c>
      <c r="I364">
        <v>7</v>
      </c>
      <c r="J364">
        <v>0</v>
      </c>
      <c r="K364">
        <v>116</v>
      </c>
      <c r="L364">
        <v>113</v>
      </c>
      <c r="M364" s="48">
        <v>6.1946902654867297E-2</v>
      </c>
    </row>
    <row r="365" spans="1:13" x14ac:dyDescent="0.35">
      <c r="A365" t="s">
        <v>185</v>
      </c>
      <c r="B365" t="s">
        <v>36</v>
      </c>
      <c r="C365" t="s">
        <v>157</v>
      </c>
      <c r="D365" t="s">
        <v>146</v>
      </c>
      <c r="E365" t="s">
        <v>194</v>
      </c>
      <c r="F365" t="s">
        <v>16</v>
      </c>
      <c r="G365" t="s">
        <v>17</v>
      </c>
      <c r="H365">
        <v>0</v>
      </c>
      <c r="I365">
        <v>0</v>
      </c>
      <c r="J365">
        <v>0</v>
      </c>
      <c r="K365">
        <v>9</v>
      </c>
      <c r="L365">
        <v>9</v>
      </c>
      <c r="M365" s="48">
        <v>0</v>
      </c>
    </row>
    <row r="366" spans="1:13" x14ac:dyDescent="0.35">
      <c r="A366" t="s">
        <v>185</v>
      </c>
      <c r="B366" t="s">
        <v>36</v>
      </c>
      <c r="C366" t="s">
        <v>152</v>
      </c>
      <c r="D366" t="s">
        <v>146</v>
      </c>
      <c r="E366" t="s">
        <v>194</v>
      </c>
      <c r="F366" t="s">
        <v>16</v>
      </c>
      <c r="G366" t="s">
        <v>17</v>
      </c>
      <c r="H366">
        <v>14</v>
      </c>
      <c r="I366">
        <v>14</v>
      </c>
      <c r="J366">
        <v>0</v>
      </c>
      <c r="K366">
        <v>103</v>
      </c>
      <c r="L366">
        <v>95</v>
      </c>
      <c r="M366" s="48">
        <v>0.14736842105263201</v>
      </c>
    </row>
    <row r="367" spans="1:13" x14ac:dyDescent="0.35">
      <c r="A367" t="s">
        <v>185</v>
      </c>
      <c r="B367" t="s">
        <v>36</v>
      </c>
      <c r="C367" t="s">
        <v>154</v>
      </c>
      <c r="D367" t="s">
        <v>146</v>
      </c>
      <c r="E367" t="s">
        <v>194</v>
      </c>
      <c r="F367" t="s">
        <v>16</v>
      </c>
      <c r="G367" t="s">
        <v>17</v>
      </c>
      <c r="H367">
        <v>0</v>
      </c>
      <c r="I367">
        <v>0</v>
      </c>
      <c r="J367">
        <v>0</v>
      </c>
      <c r="K367">
        <v>13</v>
      </c>
      <c r="L367">
        <v>13</v>
      </c>
      <c r="M367" s="48">
        <v>0</v>
      </c>
    </row>
    <row r="368" spans="1:13" x14ac:dyDescent="0.35">
      <c r="A368" t="s">
        <v>185</v>
      </c>
      <c r="B368" t="s">
        <v>36</v>
      </c>
      <c r="C368" t="s">
        <v>150</v>
      </c>
      <c r="D368" t="s">
        <v>146</v>
      </c>
      <c r="E368" t="s">
        <v>195</v>
      </c>
      <c r="F368" t="s">
        <v>16</v>
      </c>
      <c r="G368" t="s">
        <v>17</v>
      </c>
      <c r="H368">
        <v>1</v>
      </c>
      <c r="I368">
        <v>1</v>
      </c>
      <c r="J368">
        <v>0</v>
      </c>
      <c r="K368">
        <v>12</v>
      </c>
      <c r="L368">
        <v>10</v>
      </c>
      <c r="M368" s="48">
        <v>0.1</v>
      </c>
    </row>
    <row r="369" spans="1:13" x14ac:dyDescent="0.35">
      <c r="A369" t="s">
        <v>185</v>
      </c>
      <c r="B369" t="s">
        <v>36</v>
      </c>
      <c r="C369" t="s">
        <v>151</v>
      </c>
      <c r="D369" t="s">
        <v>146</v>
      </c>
      <c r="E369" t="s">
        <v>195</v>
      </c>
      <c r="F369" t="s">
        <v>16</v>
      </c>
      <c r="G369" t="s">
        <v>17</v>
      </c>
      <c r="H369">
        <v>0</v>
      </c>
      <c r="I369">
        <v>0</v>
      </c>
      <c r="J369">
        <v>0</v>
      </c>
      <c r="K369">
        <v>13</v>
      </c>
      <c r="L369">
        <v>13</v>
      </c>
      <c r="M369" s="48">
        <v>0</v>
      </c>
    </row>
    <row r="370" spans="1:13" x14ac:dyDescent="0.35">
      <c r="A370" t="s">
        <v>185</v>
      </c>
      <c r="B370" t="s">
        <v>36</v>
      </c>
      <c r="C370" t="s">
        <v>152</v>
      </c>
      <c r="D370" t="s">
        <v>146</v>
      </c>
      <c r="E370" t="s">
        <v>195</v>
      </c>
      <c r="F370" t="s">
        <v>16</v>
      </c>
      <c r="G370" t="s">
        <v>17</v>
      </c>
      <c r="H370">
        <v>15</v>
      </c>
      <c r="I370">
        <v>14</v>
      </c>
      <c r="J370">
        <v>1</v>
      </c>
      <c r="K370">
        <v>112</v>
      </c>
      <c r="L370">
        <v>94</v>
      </c>
      <c r="M370" s="48">
        <v>0.159574468085106</v>
      </c>
    </row>
    <row r="371" spans="1:13" x14ac:dyDescent="0.35">
      <c r="A371" t="s">
        <v>185</v>
      </c>
      <c r="B371" t="s">
        <v>36</v>
      </c>
      <c r="C371" t="s">
        <v>153</v>
      </c>
      <c r="D371" t="s">
        <v>146</v>
      </c>
      <c r="E371" t="s">
        <v>195</v>
      </c>
      <c r="F371" t="s">
        <v>16</v>
      </c>
      <c r="G371" t="s">
        <v>17</v>
      </c>
      <c r="H371">
        <v>1</v>
      </c>
      <c r="I371">
        <v>1</v>
      </c>
      <c r="J371">
        <v>0</v>
      </c>
      <c r="K371">
        <v>12</v>
      </c>
      <c r="L371">
        <v>10</v>
      </c>
      <c r="M371" s="48">
        <v>0.1</v>
      </c>
    </row>
    <row r="372" spans="1:13" x14ac:dyDescent="0.35">
      <c r="A372" t="s">
        <v>185</v>
      </c>
      <c r="B372" t="s">
        <v>36</v>
      </c>
      <c r="C372" t="s">
        <v>154</v>
      </c>
      <c r="D372" t="s">
        <v>146</v>
      </c>
      <c r="E372" t="s">
        <v>195</v>
      </c>
      <c r="F372" t="s">
        <v>16</v>
      </c>
      <c r="G372" t="s">
        <v>17</v>
      </c>
      <c r="H372">
        <v>1</v>
      </c>
      <c r="I372">
        <v>1</v>
      </c>
      <c r="J372">
        <v>0</v>
      </c>
      <c r="K372">
        <v>20</v>
      </c>
      <c r="L372">
        <v>18</v>
      </c>
      <c r="M372" s="48">
        <v>5.5555555555555601E-2</v>
      </c>
    </row>
    <row r="373" spans="1:13" x14ac:dyDescent="0.35">
      <c r="A373" t="s">
        <v>185</v>
      </c>
      <c r="B373" t="s">
        <v>36</v>
      </c>
      <c r="C373" t="s">
        <v>148</v>
      </c>
      <c r="D373" t="s">
        <v>146</v>
      </c>
      <c r="E373" t="s">
        <v>195</v>
      </c>
      <c r="F373" t="s">
        <v>16</v>
      </c>
      <c r="G373" t="s">
        <v>17</v>
      </c>
      <c r="H373">
        <v>8</v>
      </c>
      <c r="I373">
        <v>7</v>
      </c>
      <c r="J373">
        <v>1</v>
      </c>
      <c r="K373">
        <v>128</v>
      </c>
      <c r="L373">
        <v>122</v>
      </c>
      <c r="M373" s="48">
        <v>6.5573770491803296E-2</v>
      </c>
    </row>
    <row r="374" spans="1:13" x14ac:dyDescent="0.35">
      <c r="A374" t="s">
        <v>185</v>
      </c>
      <c r="B374" t="s">
        <v>36</v>
      </c>
      <c r="C374" t="s">
        <v>155</v>
      </c>
      <c r="D374" t="s">
        <v>146</v>
      </c>
      <c r="E374" t="s">
        <v>195</v>
      </c>
      <c r="F374" t="s">
        <v>16</v>
      </c>
      <c r="G374" t="s">
        <v>17</v>
      </c>
      <c r="H374">
        <v>2</v>
      </c>
      <c r="I374">
        <v>2</v>
      </c>
      <c r="J374">
        <v>0</v>
      </c>
      <c r="K374">
        <v>10</v>
      </c>
      <c r="L374">
        <v>10</v>
      </c>
      <c r="M374" s="48">
        <v>0.2</v>
      </c>
    </row>
    <row r="375" spans="1:13" x14ac:dyDescent="0.35">
      <c r="A375" t="s">
        <v>185</v>
      </c>
      <c r="B375" t="s">
        <v>36</v>
      </c>
      <c r="C375" t="s">
        <v>156</v>
      </c>
      <c r="D375" t="s">
        <v>146</v>
      </c>
      <c r="E375" t="s">
        <v>195</v>
      </c>
      <c r="F375" t="s">
        <v>16</v>
      </c>
      <c r="G375" t="s">
        <v>17</v>
      </c>
      <c r="H375">
        <v>2</v>
      </c>
      <c r="I375">
        <v>2</v>
      </c>
      <c r="J375">
        <v>0</v>
      </c>
      <c r="K375">
        <v>10</v>
      </c>
      <c r="L375">
        <v>9</v>
      </c>
      <c r="M375" s="48">
        <v>0.22222222222222199</v>
      </c>
    </row>
    <row r="376" spans="1:13" x14ac:dyDescent="0.35">
      <c r="A376" t="s">
        <v>185</v>
      </c>
      <c r="B376" t="s">
        <v>36</v>
      </c>
      <c r="C376" t="s">
        <v>157</v>
      </c>
      <c r="D376" t="s">
        <v>146</v>
      </c>
      <c r="E376" t="s">
        <v>195</v>
      </c>
      <c r="F376" t="s">
        <v>16</v>
      </c>
      <c r="G376" t="s">
        <v>17</v>
      </c>
      <c r="H376">
        <v>1</v>
      </c>
      <c r="I376">
        <v>1</v>
      </c>
      <c r="J376">
        <v>0</v>
      </c>
      <c r="K376">
        <v>17</v>
      </c>
      <c r="L376">
        <v>14</v>
      </c>
      <c r="M376" s="48">
        <v>7.1428571428571397E-2</v>
      </c>
    </row>
    <row r="377" spans="1:13" x14ac:dyDescent="0.35">
      <c r="A377" t="s">
        <v>185</v>
      </c>
      <c r="B377" t="s">
        <v>36</v>
      </c>
      <c r="C377" t="s">
        <v>158</v>
      </c>
      <c r="D377" t="s">
        <v>146</v>
      </c>
      <c r="E377" t="s">
        <v>195</v>
      </c>
      <c r="F377" t="s">
        <v>16</v>
      </c>
      <c r="G377" t="s">
        <v>17</v>
      </c>
      <c r="H377">
        <v>1</v>
      </c>
      <c r="I377">
        <v>1</v>
      </c>
      <c r="J377">
        <v>0</v>
      </c>
      <c r="K377">
        <v>41</v>
      </c>
      <c r="L377">
        <v>37</v>
      </c>
      <c r="M377" s="48">
        <v>2.7027027027027001E-2</v>
      </c>
    </row>
    <row r="378" spans="1:13" x14ac:dyDescent="0.35">
      <c r="A378" t="s">
        <v>185</v>
      </c>
      <c r="B378" t="s">
        <v>36</v>
      </c>
      <c r="C378" t="s">
        <v>150</v>
      </c>
      <c r="D378" t="s">
        <v>146</v>
      </c>
      <c r="E378" t="s">
        <v>196</v>
      </c>
      <c r="F378" t="s">
        <v>16</v>
      </c>
      <c r="G378" t="s">
        <v>17</v>
      </c>
      <c r="H378">
        <v>2</v>
      </c>
      <c r="I378">
        <v>2</v>
      </c>
      <c r="J378">
        <v>0</v>
      </c>
      <c r="K378">
        <v>12</v>
      </c>
      <c r="L378">
        <v>11</v>
      </c>
      <c r="M378" s="48">
        <v>0.18181818181818199</v>
      </c>
    </row>
    <row r="379" spans="1:13" x14ac:dyDescent="0.35">
      <c r="A379" t="s">
        <v>185</v>
      </c>
      <c r="B379" t="s">
        <v>36</v>
      </c>
      <c r="C379" t="s">
        <v>152</v>
      </c>
      <c r="D379" t="s">
        <v>146</v>
      </c>
      <c r="E379" t="s">
        <v>196</v>
      </c>
      <c r="F379" t="s">
        <v>16</v>
      </c>
      <c r="G379" t="s">
        <v>17</v>
      </c>
      <c r="H379">
        <v>10</v>
      </c>
      <c r="I379">
        <v>10</v>
      </c>
      <c r="J379">
        <v>0</v>
      </c>
      <c r="K379">
        <v>99</v>
      </c>
      <c r="L379">
        <v>87</v>
      </c>
      <c r="M379" s="48">
        <v>0.114942528735632</v>
      </c>
    </row>
    <row r="380" spans="1:13" x14ac:dyDescent="0.35">
      <c r="A380" t="s">
        <v>185</v>
      </c>
      <c r="B380" t="s">
        <v>36</v>
      </c>
      <c r="C380" t="s">
        <v>148</v>
      </c>
      <c r="D380" t="s">
        <v>146</v>
      </c>
      <c r="E380" t="s">
        <v>196</v>
      </c>
      <c r="F380" t="s">
        <v>16</v>
      </c>
      <c r="G380" t="s">
        <v>17</v>
      </c>
      <c r="H380">
        <v>10</v>
      </c>
      <c r="I380">
        <v>9</v>
      </c>
      <c r="J380">
        <v>1</v>
      </c>
      <c r="K380">
        <v>159</v>
      </c>
      <c r="L380">
        <v>147</v>
      </c>
      <c r="M380" s="48">
        <v>6.8027210884353706E-2</v>
      </c>
    </row>
    <row r="381" spans="1:13" x14ac:dyDescent="0.35">
      <c r="A381" t="s">
        <v>185</v>
      </c>
      <c r="B381" t="s">
        <v>36</v>
      </c>
      <c r="C381" t="s">
        <v>155</v>
      </c>
      <c r="D381" t="s">
        <v>146</v>
      </c>
      <c r="E381" t="s">
        <v>196</v>
      </c>
      <c r="F381" t="s">
        <v>16</v>
      </c>
      <c r="G381" t="s">
        <v>17</v>
      </c>
      <c r="H381">
        <v>2</v>
      </c>
      <c r="I381">
        <v>2</v>
      </c>
      <c r="J381">
        <v>0</v>
      </c>
      <c r="K381">
        <v>11</v>
      </c>
      <c r="L381">
        <v>11</v>
      </c>
      <c r="M381" s="48">
        <v>0.18181818181818199</v>
      </c>
    </row>
    <row r="382" spans="1:13" x14ac:dyDescent="0.35">
      <c r="A382" t="s">
        <v>185</v>
      </c>
      <c r="B382" t="s">
        <v>36</v>
      </c>
      <c r="C382" t="s">
        <v>157</v>
      </c>
      <c r="D382" t="s">
        <v>146</v>
      </c>
      <c r="E382" t="s">
        <v>196</v>
      </c>
      <c r="F382" t="s">
        <v>16</v>
      </c>
      <c r="G382" t="s">
        <v>17</v>
      </c>
      <c r="H382">
        <v>1</v>
      </c>
      <c r="I382">
        <v>1</v>
      </c>
      <c r="J382">
        <v>0</v>
      </c>
      <c r="K382">
        <v>11</v>
      </c>
      <c r="L382">
        <v>10</v>
      </c>
      <c r="M382" s="48">
        <v>0.1</v>
      </c>
    </row>
    <row r="383" spans="1:13" x14ac:dyDescent="0.35">
      <c r="A383" t="s">
        <v>185</v>
      </c>
      <c r="B383" t="s">
        <v>36</v>
      </c>
      <c r="C383" t="s">
        <v>158</v>
      </c>
      <c r="D383" t="s">
        <v>146</v>
      </c>
      <c r="E383" t="s">
        <v>196</v>
      </c>
      <c r="F383" t="s">
        <v>16</v>
      </c>
      <c r="G383" t="s">
        <v>17</v>
      </c>
      <c r="H383">
        <v>4</v>
      </c>
      <c r="I383">
        <v>4</v>
      </c>
      <c r="J383">
        <v>0</v>
      </c>
      <c r="K383">
        <v>67</v>
      </c>
      <c r="L383">
        <v>64</v>
      </c>
      <c r="M383" s="48">
        <v>6.25E-2</v>
      </c>
    </row>
    <row r="384" spans="1:13" x14ac:dyDescent="0.35">
      <c r="A384" t="s">
        <v>197</v>
      </c>
      <c r="B384" t="s">
        <v>13</v>
      </c>
      <c r="C384" t="s">
        <v>145</v>
      </c>
      <c r="D384" t="s">
        <v>146</v>
      </c>
      <c r="E384" t="s">
        <v>198</v>
      </c>
      <c r="F384" t="s">
        <v>199</v>
      </c>
      <c r="G384" t="s">
        <v>199</v>
      </c>
      <c r="H384">
        <v>5</v>
      </c>
      <c r="I384">
        <v>0</v>
      </c>
      <c r="J384">
        <v>3</v>
      </c>
      <c r="K384">
        <v>14</v>
      </c>
      <c r="L384">
        <v>14</v>
      </c>
      <c r="M384" s="48">
        <v>0.35714285714285698</v>
      </c>
    </row>
    <row r="385" spans="1:13" x14ac:dyDescent="0.35">
      <c r="A385" t="s">
        <v>197</v>
      </c>
      <c r="B385" t="s">
        <v>13</v>
      </c>
      <c r="C385" t="s">
        <v>149</v>
      </c>
      <c r="D385" t="s">
        <v>146</v>
      </c>
      <c r="E385" t="s">
        <v>198</v>
      </c>
      <c r="F385" t="s">
        <v>199</v>
      </c>
      <c r="G385" t="s">
        <v>18</v>
      </c>
      <c r="H385">
        <v>0</v>
      </c>
      <c r="I385">
        <v>0</v>
      </c>
      <c r="J385">
        <v>0</v>
      </c>
      <c r="K385">
        <v>162</v>
      </c>
      <c r="L385">
        <v>161</v>
      </c>
      <c r="M385" s="48">
        <v>0</v>
      </c>
    </row>
    <row r="386" spans="1:13" x14ac:dyDescent="0.35">
      <c r="A386" t="s">
        <v>197</v>
      </c>
      <c r="B386" t="s">
        <v>13</v>
      </c>
      <c r="C386" t="s">
        <v>150</v>
      </c>
      <c r="D386" t="s">
        <v>146</v>
      </c>
      <c r="E386" t="s">
        <v>198</v>
      </c>
      <c r="F386" t="s">
        <v>199</v>
      </c>
      <c r="G386" t="s">
        <v>18</v>
      </c>
      <c r="H386">
        <v>0</v>
      </c>
      <c r="I386">
        <v>0</v>
      </c>
      <c r="J386">
        <v>0</v>
      </c>
      <c r="K386">
        <v>63</v>
      </c>
      <c r="L386">
        <v>63</v>
      </c>
      <c r="M386" s="48">
        <v>0</v>
      </c>
    </row>
    <row r="387" spans="1:13" x14ac:dyDescent="0.35">
      <c r="A387" t="s">
        <v>197</v>
      </c>
      <c r="B387" t="s">
        <v>13</v>
      </c>
      <c r="C387" t="s">
        <v>151</v>
      </c>
      <c r="D387" t="s">
        <v>146</v>
      </c>
      <c r="E387" t="s">
        <v>198</v>
      </c>
      <c r="F387" t="s">
        <v>199</v>
      </c>
      <c r="G387" t="s">
        <v>18</v>
      </c>
      <c r="H387">
        <v>3</v>
      </c>
      <c r="I387">
        <v>0</v>
      </c>
      <c r="J387">
        <v>0</v>
      </c>
      <c r="K387">
        <v>31</v>
      </c>
      <c r="L387">
        <v>30</v>
      </c>
      <c r="M387" s="48">
        <v>0.1</v>
      </c>
    </row>
    <row r="388" spans="1:13" x14ac:dyDescent="0.35">
      <c r="A388" t="s">
        <v>197</v>
      </c>
      <c r="B388" t="s">
        <v>13</v>
      </c>
      <c r="C388" t="s">
        <v>152</v>
      </c>
      <c r="D388" t="s">
        <v>146</v>
      </c>
      <c r="E388" t="s">
        <v>198</v>
      </c>
      <c r="F388" t="s">
        <v>199</v>
      </c>
      <c r="G388" t="s">
        <v>18</v>
      </c>
      <c r="H388">
        <v>4</v>
      </c>
      <c r="I388">
        <v>0</v>
      </c>
      <c r="J388">
        <v>1</v>
      </c>
      <c r="K388">
        <v>20</v>
      </c>
      <c r="L388">
        <v>20</v>
      </c>
      <c r="M388" s="48">
        <v>0.2</v>
      </c>
    </row>
    <row r="389" spans="1:13" x14ac:dyDescent="0.35">
      <c r="A389" t="s">
        <v>197</v>
      </c>
      <c r="B389" t="s">
        <v>13</v>
      </c>
      <c r="C389" t="s">
        <v>153</v>
      </c>
      <c r="D389" t="s">
        <v>146</v>
      </c>
      <c r="E389" t="s">
        <v>198</v>
      </c>
      <c r="F389" t="s">
        <v>199</v>
      </c>
      <c r="G389" t="s">
        <v>18</v>
      </c>
      <c r="H389">
        <v>0</v>
      </c>
      <c r="I389">
        <v>0</v>
      </c>
      <c r="J389">
        <v>0</v>
      </c>
      <c r="K389">
        <v>27</v>
      </c>
      <c r="L389">
        <v>27</v>
      </c>
      <c r="M389" s="48">
        <v>0</v>
      </c>
    </row>
    <row r="390" spans="1:13" x14ac:dyDescent="0.35">
      <c r="A390" t="s">
        <v>197</v>
      </c>
      <c r="B390" t="s">
        <v>13</v>
      </c>
      <c r="C390" t="s">
        <v>154</v>
      </c>
      <c r="D390" t="s">
        <v>146</v>
      </c>
      <c r="E390" t="s">
        <v>198</v>
      </c>
      <c r="F390" t="s">
        <v>199</v>
      </c>
      <c r="G390" t="s">
        <v>18</v>
      </c>
      <c r="H390">
        <v>2</v>
      </c>
      <c r="I390">
        <v>0</v>
      </c>
      <c r="J390">
        <v>1</v>
      </c>
      <c r="K390">
        <v>34</v>
      </c>
      <c r="L390">
        <v>34</v>
      </c>
      <c r="M390" s="48">
        <v>5.8823529411764698E-2</v>
      </c>
    </row>
    <row r="391" spans="1:13" x14ac:dyDescent="0.35">
      <c r="A391" t="s">
        <v>197</v>
      </c>
      <c r="B391" t="s">
        <v>13</v>
      </c>
      <c r="C391" t="s">
        <v>148</v>
      </c>
      <c r="D391" t="s">
        <v>146</v>
      </c>
      <c r="E391" t="s">
        <v>198</v>
      </c>
      <c r="F391" t="s">
        <v>199</v>
      </c>
      <c r="G391" t="s">
        <v>18</v>
      </c>
      <c r="H391">
        <v>3</v>
      </c>
      <c r="I391">
        <v>0</v>
      </c>
      <c r="J391">
        <v>2</v>
      </c>
      <c r="K391">
        <v>185</v>
      </c>
      <c r="L391">
        <v>182</v>
      </c>
      <c r="M391" s="48">
        <v>1.6483516483516501E-2</v>
      </c>
    </row>
    <row r="392" spans="1:13" x14ac:dyDescent="0.35">
      <c r="A392" t="s">
        <v>197</v>
      </c>
      <c r="B392" t="s">
        <v>13</v>
      </c>
      <c r="C392" t="s">
        <v>155</v>
      </c>
      <c r="D392" t="s">
        <v>146</v>
      </c>
      <c r="E392" t="s">
        <v>198</v>
      </c>
      <c r="F392" t="s">
        <v>199</v>
      </c>
      <c r="G392" t="s">
        <v>18</v>
      </c>
      <c r="H392">
        <v>4</v>
      </c>
      <c r="I392">
        <v>0</v>
      </c>
      <c r="J392">
        <v>1</v>
      </c>
      <c r="K392">
        <v>55</v>
      </c>
      <c r="L392">
        <v>54</v>
      </c>
      <c r="M392" s="48">
        <v>7.4074074074074098E-2</v>
      </c>
    </row>
    <row r="393" spans="1:13" x14ac:dyDescent="0.35">
      <c r="A393" t="s">
        <v>197</v>
      </c>
      <c r="B393" t="s">
        <v>13</v>
      </c>
      <c r="C393" t="s">
        <v>156</v>
      </c>
      <c r="D393" t="s">
        <v>146</v>
      </c>
      <c r="E393" t="s">
        <v>198</v>
      </c>
      <c r="F393" t="s">
        <v>199</v>
      </c>
      <c r="G393" t="s">
        <v>18</v>
      </c>
      <c r="H393">
        <v>1</v>
      </c>
      <c r="I393">
        <v>0</v>
      </c>
      <c r="J393">
        <v>1</v>
      </c>
      <c r="K393">
        <v>20</v>
      </c>
      <c r="L393">
        <v>20</v>
      </c>
      <c r="M393" s="48">
        <v>0.05</v>
      </c>
    </row>
    <row r="394" spans="1:13" x14ac:dyDescent="0.35">
      <c r="A394" t="s">
        <v>197</v>
      </c>
      <c r="B394" t="s">
        <v>13</v>
      </c>
      <c r="C394" t="s">
        <v>157</v>
      </c>
      <c r="D394" t="s">
        <v>146</v>
      </c>
      <c r="E394" t="s">
        <v>198</v>
      </c>
      <c r="F394" t="s">
        <v>199</v>
      </c>
      <c r="G394" t="s">
        <v>18</v>
      </c>
      <c r="H394">
        <v>2</v>
      </c>
      <c r="I394">
        <v>0</v>
      </c>
      <c r="J394">
        <v>0</v>
      </c>
      <c r="K394">
        <v>518</v>
      </c>
      <c r="L394">
        <v>511</v>
      </c>
      <c r="M394" s="48">
        <v>3.9138943248532296E-3</v>
      </c>
    </row>
    <row r="395" spans="1:13" x14ac:dyDescent="0.35">
      <c r="A395" t="s">
        <v>197</v>
      </c>
      <c r="B395" t="s">
        <v>13</v>
      </c>
      <c r="C395" t="s">
        <v>158</v>
      </c>
      <c r="D395" t="s">
        <v>146</v>
      </c>
      <c r="E395" t="s">
        <v>198</v>
      </c>
      <c r="F395" t="s">
        <v>199</v>
      </c>
      <c r="G395" t="s">
        <v>18</v>
      </c>
      <c r="H395">
        <v>3</v>
      </c>
      <c r="I395">
        <v>0</v>
      </c>
      <c r="J395">
        <v>1</v>
      </c>
      <c r="K395">
        <v>507</v>
      </c>
      <c r="L395">
        <v>507</v>
      </c>
      <c r="M395" s="48">
        <v>5.9171597633136102E-3</v>
      </c>
    </row>
    <row r="396" spans="1:13" x14ac:dyDescent="0.35">
      <c r="A396" t="s">
        <v>197</v>
      </c>
      <c r="B396" t="s">
        <v>13</v>
      </c>
      <c r="C396" t="s">
        <v>149</v>
      </c>
      <c r="D396" t="s">
        <v>146</v>
      </c>
      <c r="E396" t="s">
        <v>200</v>
      </c>
      <c r="F396" t="s">
        <v>199</v>
      </c>
      <c r="G396" t="s">
        <v>20</v>
      </c>
      <c r="H396">
        <v>0</v>
      </c>
      <c r="I396">
        <v>0</v>
      </c>
      <c r="J396">
        <v>0</v>
      </c>
      <c r="K396">
        <v>154</v>
      </c>
      <c r="L396">
        <v>151</v>
      </c>
      <c r="M396" s="48">
        <v>0</v>
      </c>
    </row>
    <row r="397" spans="1:13" x14ac:dyDescent="0.35">
      <c r="A397" t="s">
        <v>197</v>
      </c>
      <c r="B397" t="s">
        <v>13</v>
      </c>
      <c r="C397" t="s">
        <v>150</v>
      </c>
      <c r="D397" t="s">
        <v>146</v>
      </c>
      <c r="E397" t="s">
        <v>200</v>
      </c>
      <c r="F397" t="s">
        <v>199</v>
      </c>
      <c r="G397" t="s">
        <v>20</v>
      </c>
      <c r="H397">
        <v>0</v>
      </c>
      <c r="I397">
        <v>0</v>
      </c>
      <c r="J397">
        <v>0</v>
      </c>
      <c r="K397">
        <v>68</v>
      </c>
      <c r="L397">
        <v>66</v>
      </c>
      <c r="M397" s="48">
        <v>0</v>
      </c>
    </row>
    <row r="398" spans="1:13" x14ac:dyDescent="0.35">
      <c r="A398" t="s">
        <v>197</v>
      </c>
      <c r="B398" t="s">
        <v>13</v>
      </c>
      <c r="C398" t="s">
        <v>151</v>
      </c>
      <c r="D398" t="s">
        <v>146</v>
      </c>
      <c r="E398" t="s">
        <v>200</v>
      </c>
      <c r="F398" t="s">
        <v>199</v>
      </c>
      <c r="G398" t="s">
        <v>20</v>
      </c>
      <c r="H398">
        <v>4</v>
      </c>
      <c r="I398">
        <v>0</v>
      </c>
      <c r="J398">
        <v>1</v>
      </c>
      <c r="K398">
        <v>26</v>
      </c>
      <c r="L398">
        <v>26</v>
      </c>
      <c r="M398" s="48">
        <v>0.15384615384615399</v>
      </c>
    </row>
    <row r="399" spans="1:13" x14ac:dyDescent="0.35">
      <c r="A399" t="s">
        <v>197</v>
      </c>
      <c r="B399" t="s">
        <v>13</v>
      </c>
      <c r="C399" t="s">
        <v>152</v>
      </c>
      <c r="D399" t="s">
        <v>146</v>
      </c>
      <c r="E399" t="s">
        <v>200</v>
      </c>
      <c r="F399" t="s">
        <v>199</v>
      </c>
      <c r="G399" t="s">
        <v>20</v>
      </c>
      <c r="H399">
        <v>6</v>
      </c>
      <c r="I399">
        <v>0</v>
      </c>
      <c r="J399">
        <v>3</v>
      </c>
      <c r="K399">
        <v>17</v>
      </c>
      <c r="L399">
        <v>16</v>
      </c>
      <c r="M399" s="48">
        <v>0.375</v>
      </c>
    </row>
    <row r="400" spans="1:13" x14ac:dyDescent="0.35">
      <c r="A400" t="s">
        <v>197</v>
      </c>
      <c r="B400" t="s">
        <v>13</v>
      </c>
      <c r="C400" t="s">
        <v>153</v>
      </c>
      <c r="D400" t="s">
        <v>146</v>
      </c>
      <c r="E400" t="s">
        <v>200</v>
      </c>
      <c r="F400" t="s">
        <v>199</v>
      </c>
      <c r="G400" t="s">
        <v>20</v>
      </c>
      <c r="H400">
        <v>1</v>
      </c>
      <c r="I400">
        <v>0</v>
      </c>
      <c r="J400">
        <v>0</v>
      </c>
      <c r="K400">
        <v>33</v>
      </c>
      <c r="L400">
        <v>33</v>
      </c>
      <c r="M400" s="48">
        <v>3.03030303030303E-2</v>
      </c>
    </row>
    <row r="401" spans="1:13" x14ac:dyDescent="0.35">
      <c r="A401" t="s">
        <v>197</v>
      </c>
      <c r="B401" t="s">
        <v>13</v>
      </c>
      <c r="C401" t="s">
        <v>154</v>
      </c>
      <c r="D401" t="s">
        <v>146</v>
      </c>
      <c r="E401" t="s">
        <v>200</v>
      </c>
      <c r="F401" t="s">
        <v>199</v>
      </c>
      <c r="G401" t="s">
        <v>20</v>
      </c>
      <c r="H401">
        <v>1</v>
      </c>
      <c r="I401">
        <v>0</v>
      </c>
      <c r="J401">
        <v>0</v>
      </c>
      <c r="K401">
        <v>34</v>
      </c>
      <c r="L401">
        <v>32</v>
      </c>
      <c r="M401" s="48">
        <v>3.125E-2</v>
      </c>
    </row>
    <row r="402" spans="1:13" x14ac:dyDescent="0.35">
      <c r="A402" t="s">
        <v>197</v>
      </c>
      <c r="B402" t="s">
        <v>13</v>
      </c>
      <c r="C402" t="s">
        <v>148</v>
      </c>
      <c r="D402" t="s">
        <v>146</v>
      </c>
      <c r="E402" t="s">
        <v>200</v>
      </c>
      <c r="F402" t="s">
        <v>199</v>
      </c>
      <c r="G402" t="s">
        <v>20</v>
      </c>
      <c r="H402">
        <v>5</v>
      </c>
      <c r="I402">
        <v>0</v>
      </c>
      <c r="J402">
        <v>2</v>
      </c>
      <c r="K402">
        <v>218</v>
      </c>
      <c r="L402">
        <v>217</v>
      </c>
      <c r="M402" s="48">
        <v>2.3041474654377898E-2</v>
      </c>
    </row>
    <row r="403" spans="1:13" x14ac:dyDescent="0.35">
      <c r="A403" t="s">
        <v>197</v>
      </c>
      <c r="B403" t="s">
        <v>13</v>
      </c>
      <c r="C403" t="s">
        <v>155</v>
      </c>
      <c r="D403" t="s">
        <v>146</v>
      </c>
      <c r="E403" t="s">
        <v>200</v>
      </c>
      <c r="F403" t="s">
        <v>199</v>
      </c>
      <c r="G403" t="s">
        <v>20</v>
      </c>
      <c r="H403">
        <v>3</v>
      </c>
      <c r="I403">
        <v>0</v>
      </c>
      <c r="J403">
        <v>1</v>
      </c>
      <c r="K403">
        <v>56</v>
      </c>
      <c r="L403">
        <v>56</v>
      </c>
      <c r="M403" s="48">
        <v>5.3571428571428603E-2</v>
      </c>
    </row>
    <row r="404" spans="1:13" x14ac:dyDescent="0.35">
      <c r="A404" t="s">
        <v>197</v>
      </c>
      <c r="B404" t="s">
        <v>13</v>
      </c>
      <c r="C404" t="s">
        <v>156</v>
      </c>
      <c r="D404" t="s">
        <v>146</v>
      </c>
      <c r="E404" t="s">
        <v>200</v>
      </c>
      <c r="F404" t="s">
        <v>199</v>
      </c>
      <c r="G404" t="s">
        <v>20</v>
      </c>
      <c r="H404">
        <v>4</v>
      </c>
      <c r="I404">
        <v>0</v>
      </c>
      <c r="J404">
        <v>2</v>
      </c>
      <c r="K404">
        <v>22</v>
      </c>
      <c r="L404">
        <v>22</v>
      </c>
      <c r="M404" s="48">
        <v>0.18181818181818199</v>
      </c>
    </row>
    <row r="405" spans="1:13" x14ac:dyDescent="0.35">
      <c r="A405" t="s">
        <v>197</v>
      </c>
      <c r="B405" t="s">
        <v>13</v>
      </c>
      <c r="C405" t="s">
        <v>157</v>
      </c>
      <c r="D405" t="s">
        <v>146</v>
      </c>
      <c r="E405" t="s">
        <v>200</v>
      </c>
      <c r="F405" t="s">
        <v>199</v>
      </c>
      <c r="G405" t="s">
        <v>20</v>
      </c>
      <c r="H405">
        <v>3</v>
      </c>
      <c r="I405">
        <v>0</v>
      </c>
      <c r="J405">
        <v>1</v>
      </c>
      <c r="K405">
        <v>553</v>
      </c>
      <c r="L405">
        <v>531</v>
      </c>
      <c r="M405" s="48">
        <v>5.6497175141242903E-3</v>
      </c>
    </row>
    <row r="406" spans="1:13" x14ac:dyDescent="0.35">
      <c r="A406" t="s">
        <v>197</v>
      </c>
      <c r="B406" t="s">
        <v>13</v>
      </c>
      <c r="C406" t="s">
        <v>158</v>
      </c>
      <c r="D406" t="s">
        <v>146</v>
      </c>
      <c r="E406" t="s">
        <v>200</v>
      </c>
      <c r="F406" t="s">
        <v>199</v>
      </c>
      <c r="G406" t="s">
        <v>20</v>
      </c>
      <c r="H406">
        <v>3</v>
      </c>
      <c r="I406">
        <v>0</v>
      </c>
      <c r="J406">
        <v>1</v>
      </c>
      <c r="K406">
        <v>572</v>
      </c>
      <c r="L406">
        <v>572</v>
      </c>
      <c r="M406" s="48">
        <v>5.2447552447552398E-3</v>
      </c>
    </row>
    <row r="407" spans="1:13" x14ac:dyDescent="0.35">
      <c r="A407" t="s">
        <v>197</v>
      </c>
      <c r="B407" t="s">
        <v>13</v>
      </c>
      <c r="C407" t="s">
        <v>148</v>
      </c>
      <c r="D407" t="s">
        <v>146</v>
      </c>
      <c r="E407" t="s">
        <v>201</v>
      </c>
      <c r="F407" t="s">
        <v>199</v>
      </c>
      <c r="G407" t="s">
        <v>17</v>
      </c>
      <c r="H407">
        <v>7</v>
      </c>
      <c r="I407">
        <v>0</v>
      </c>
      <c r="J407">
        <v>0</v>
      </c>
      <c r="K407">
        <v>342</v>
      </c>
      <c r="L407">
        <v>342</v>
      </c>
      <c r="M407" s="48">
        <v>2.0467836257309899E-2</v>
      </c>
    </row>
    <row r="408" spans="1:13" x14ac:dyDescent="0.35">
      <c r="A408" t="s">
        <v>197</v>
      </c>
      <c r="B408" t="s">
        <v>13</v>
      </c>
      <c r="C408" t="s">
        <v>150</v>
      </c>
      <c r="D408" t="s">
        <v>146</v>
      </c>
      <c r="E408" t="s">
        <v>202</v>
      </c>
      <c r="F408" t="s">
        <v>199</v>
      </c>
      <c r="G408" t="s">
        <v>17</v>
      </c>
      <c r="H408">
        <v>1</v>
      </c>
      <c r="I408">
        <v>0</v>
      </c>
      <c r="J408">
        <v>0</v>
      </c>
      <c r="K408">
        <v>69</v>
      </c>
      <c r="L408">
        <v>69</v>
      </c>
      <c r="M408" s="48">
        <v>1.4492753623188401E-2</v>
      </c>
    </row>
    <row r="409" spans="1:13" x14ac:dyDescent="0.35">
      <c r="A409" t="s">
        <v>197</v>
      </c>
      <c r="B409" t="s">
        <v>13</v>
      </c>
      <c r="C409" t="s">
        <v>151</v>
      </c>
      <c r="D409" t="s">
        <v>146</v>
      </c>
      <c r="E409" t="s">
        <v>202</v>
      </c>
      <c r="F409" t="s">
        <v>199</v>
      </c>
      <c r="G409" t="s">
        <v>17</v>
      </c>
      <c r="H409">
        <v>0</v>
      </c>
      <c r="I409">
        <v>0</v>
      </c>
      <c r="J409">
        <v>0</v>
      </c>
      <c r="K409">
        <v>47</v>
      </c>
      <c r="L409">
        <v>44</v>
      </c>
      <c r="M409" s="48">
        <v>0</v>
      </c>
    </row>
    <row r="410" spans="1:13" x14ac:dyDescent="0.35">
      <c r="A410" t="s">
        <v>197</v>
      </c>
      <c r="B410" t="s">
        <v>13</v>
      </c>
      <c r="C410" t="s">
        <v>152</v>
      </c>
      <c r="D410" t="s">
        <v>146</v>
      </c>
      <c r="E410" t="s">
        <v>202</v>
      </c>
      <c r="F410" t="s">
        <v>199</v>
      </c>
      <c r="G410" t="s">
        <v>17</v>
      </c>
      <c r="H410">
        <v>6</v>
      </c>
      <c r="I410">
        <v>0</v>
      </c>
      <c r="J410">
        <v>3</v>
      </c>
      <c r="K410">
        <v>18</v>
      </c>
      <c r="L410">
        <v>17</v>
      </c>
      <c r="M410" s="48">
        <v>0.35294117647058798</v>
      </c>
    </row>
    <row r="411" spans="1:13" x14ac:dyDescent="0.35">
      <c r="A411" t="s">
        <v>197</v>
      </c>
      <c r="B411" t="s">
        <v>13</v>
      </c>
      <c r="C411" t="s">
        <v>153</v>
      </c>
      <c r="D411" t="s">
        <v>146</v>
      </c>
      <c r="E411" t="s">
        <v>202</v>
      </c>
      <c r="F411" t="s">
        <v>199</v>
      </c>
      <c r="G411" t="s">
        <v>17</v>
      </c>
      <c r="H411">
        <v>0</v>
      </c>
      <c r="I411">
        <v>0</v>
      </c>
      <c r="J411">
        <v>0</v>
      </c>
      <c r="K411">
        <v>31</v>
      </c>
      <c r="L411">
        <v>31</v>
      </c>
      <c r="M411" s="48">
        <v>0</v>
      </c>
    </row>
    <row r="412" spans="1:13" x14ac:dyDescent="0.35">
      <c r="A412" t="s">
        <v>197</v>
      </c>
      <c r="B412" t="s">
        <v>13</v>
      </c>
      <c r="C412" t="s">
        <v>154</v>
      </c>
      <c r="D412" t="s">
        <v>146</v>
      </c>
      <c r="E412" t="s">
        <v>202</v>
      </c>
      <c r="F412" t="s">
        <v>199</v>
      </c>
      <c r="G412" t="s">
        <v>17</v>
      </c>
      <c r="H412">
        <v>0</v>
      </c>
      <c r="I412">
        <v>0</v>
      </c>
      <c r="J412">
        <v>0</v>
      </c>
      <c r="K412">
        <v>48</v>
      </c>
      <c r="L412">
        <v>41</v>
      </c>
      <c r="M412" s="48">
        <v>0</v>
      </c>
    </row>
    <row r="413" spans="1:13" x14ac:dyDescent="0.35">
      <c r="A413" t="s">
        <v>197</v>
      </c>
      <c r="B413" t="s">
        <v>13</v>
      </c>
      <c r="C413" t="s">
        <v>155</v>
      </c>
      <c r="D413" t="s">
        <v>146</v>
      </c>
      <c r="E413" t="s">
        <v>202</v>
      </c>
      <c r="F413" t="s">
        <v>199</v>
      </c>
      <c r="G413" t="s">
        <v>17</v>
      </c>
      <c r="H413">
        <v>3</v>
      </c>
      <c r="I413">
        <v>0</v>
      </c>
      <c r="J413">
        <v>1</v>
      </c>
      <c r="K413">
        <v>76</v>
      </c>
      <c r="L413">
        <v>76</v>
      </c>
      <c r="M413" s="48">
        <v>3.94736842105263E-2</v>
      </c>
    </row>
    <row r="414" spans="1:13" x14ac:dyDescent="0.35">
      <c r="A414" t="s">
        <v>197</v>
      </c>
      <c r="B414" t="s">
        <v>13</v>
      </c>
      <c r="C414" t="s">
        <v>156</v>
      </c>
      <c r="D414" t="s">
        <v>146</v>
      </c>
      <c r="E414" t="s">
        <v>202</v>
      </c>
      <c r="F414" t="s">
        <v>199</v>
      </c>
      <c r="G414" t="s">
        <v>17</v>
      </c>
      <c r="H414">
        <v>2</v>
      </c>
      <c r="I414">
        <v>0</v>
      </c>
      <c r="J414">
        <v>2</v>
      </c>
      <c r="K414">
        <v>23</v>
      </c>
      <c r="L414">
        <v>21</v>
      </c>
      <c r="M414" s="48">
        <v>9.5238095238095205E-2</v>
      </c>
    </row>
    <row r="415" spans="1:13" x14ac:dyDescent="0.35">
      <c r="A415" t="s">
        <v>197</v>
      </c>
      <c r="B415" t="s">
        <v>13</v>
      </c>
      <c r="C415" t="s">
        <v>157</v>
      </c>
      <c r="D415" t="s">
        <v>146</v>
      </c>
      <c r="E415" t="s">
        <v>202</v>
      </c>
      <c r="F415" t="s">
        <v>199</v>
      </c>
      <c r="G415" t="s">
        <v>17</v>
      </c>
      <c r="H415">
        <v>4</v>
      </c>
      <c r="I415">
        <v>0</v>
      </c>
      <c r="J415">
        <v>0</v>
      </c>
      <c r="K415">
        <v>476</v>
      </c>
      <c r="L415">
        <v>471</v>
      </c>
      <c r="M415" s="48">
        <v>8.4925690021231404E-3</v>
      </c>
    </row>
    <row r="416" spans="1:13" x14ac:dyDescent="0.35">
      <c r="A416" t="s">
        <v>197</v>
      </c>
      <c r="B416" t="s">
        <v>13</v>
      </c>
      <c r="C416" t="s">
        <v>158</v>
      </c>
      <c r="D416" t="s">
        <v>146</v>
      </c>
      <c r="E416" t="s">
        <v>202</v>
      </c>
      <c r="F416" t="s">
        <v>199</v>
      </c>
      <c r="G416" t="s">
        <v>17</v>
      </c>
      <c r="H416">
        <v>9</v>
      </c>
      <c r="I416">
        <v>0</v>
      </c>
      <c r="J416">
        <v>1</v>
      </c>
      <c r="K416">
        <v>776</v>
      </c>
      <c r="L416">
        <v>776</v>
      </c>
      <c r="M416" s="48">
        <v>1.1597938144329901E-2</v>
      </c>
    </row>
    <row r="417" spans="1:13" x14ac:dyDescent="0.35">
      <c r="A417" t="s">
        <v>197</v>
      </c>
      <c r="B417" t="s">
        <v>13</v>
      </c>
      <c r="C417" t="s">
        <v>145</v>
      </c>
      <c r="D417" t="s">
        <v>146</v>
      </c>
      <c r="E417" t="s">
        <v>203</v>
      </c>
      <c r="F417" t="s">
        <v>199</v>
      </c>
      <c r="G417" t="s">
        <v>199</v>
      </c>
      <c r="H417">
        <v>7</v>
      </c>
      <c r="I417">
        <v>0</v>
      </c>
      <c r="J417">
        <v>1</v>
      </c>
      <c r="K417">
        <v>13</v>
      </c>
      <c r="L417">
        <v>13</v>
      </c>
      <c r="M417" s="48">
        <v>0.53846153846153799</v>
      </c>
    </row>
    <row r="418" spans="1:13" x14ac:dyDescent="0.35">
      <c r="A418" t="s">
        <v>197</v>
      </c>
      <c r="B418" t="s">
        <v>13</v>
      </c>
      <c r="C418" t="s">
        <v>149</v>
      </c>
      <c r="D418" t="s">
        <v>146</v>
      </c>
      <c r="E418" t="s">
        <v>204</v>
      </c>
      <c r="F418" t="s">
        <v>199</v>
      </c>
      <c r="G418" t="s">
        <v>17</v>
      </c>
      <c r="H418">
        <v>1</v>
      </c>
      <c r="I418">
        <v>0</v>
      </c>
      <c r="J418">
        <v>1</v>
      </c>
      <c r="K418">
        <v>175</v>
      </c>
      <c r="L418">
        <v>167</v>
      </c>
      <c r="M418" s="48">
        <v>5.9880239520958096E-3</v>
      </c>
    </row>
    <row r="419" spans="1:13" x14ac:dyDescent="0.35">
      <c r="A419" t="s">
        <v>197</v>
      </c>
      <c r="B419" t="s">
        <v>13</v>
      </c>
      <c r="C419" t="s">
        <v>150</v>
      </c>
      <c r="D419" t="s">
        <v>146</v>
      </c>
      <c r="E419" t="s">
        <v>204</v>
      </c>
      <c r="F419" t="s">
        <v>199</v>
      </c>
      <c r="G419" t="s">
        <v>17</v>
      </c>
      <c r="H419">
        <v>0</v>
      </c>
      <c r="I419">
        <v>0</v>
      </c>
      <c r="J419">
        <v>0</v>
      </c>
      <c r="K419">
        <v>66</v>
      </c>
      <c r="L419">
        <v>65</v>
      </c>
      <c r="M419" s="48">
        <v>0</v>
      </c>
    </row>
    <row r="420" spans="1:13" x14ac:dyDescent="0.35">
      <c r="A420" t="s">
        <v>197</v>
      </c>
      <c r="B420" t="s">
        <v>13</v>
      </c>
      <c r="C420" t="s">
        <v>151</v>
      </c>
      <c r="D420" t="s">
        <v>146</v>
      </c>
      <c r="E420" t="s">
        <v>204</v>
      </c>
      <c r="F420" t="s">
        <v>199</v>
      </c>
      <c r="G420" t="s">
        <v>17</v>
      </c>
      <c r="H420">
        <v>3</v>
      </c>
      <c r="I420">
        <v>0</v>
      </c>
      <c r="J420">
        <v>0</v>
      </c>
      <c r="K420">
        <v>70</v>
      </c>
      <c r="L420">
        <v>65</v>
      </c>
      <c r="M420" s="48">
        <v>4.6153846153846198E-2</v>
      </c>
    </row>
    <row r="421" spans="1:13" x14ac:dyDescent="0.35">
      <c r="A421" t="s">
        <v>197</v>
      </c>
      <c r="B421" t="s">
        <v>13</v>
      </c>
      <c r="C421" t="s">
        <v>152</v>
      </c>
      <c r="D421" t="s">
        <v>146</v>
      </c>
      <c r="E421" t="s">
        <v>204</v>
      </c>
      <c r="F421" t="s">
        <v>199</v>
      </c>
      <c r="G421" t="s">
        <v>17</v>
      </c>
      <c r="H421">
        <v>5</v>
      </c>
      <c r="I421">
        <v>0</v>
      </c>
      <c r="J421">
        <v>2</v>
      </c>
      <c r="K421">
        <v>20</v>
      </c>
      <c r="L421">
        <v>17</v>
      </c>
      <c r="M421" s="48">
        <v>0.29411764705882398</v>
      </c>
    </row>
    <row r="422" spans="1:13" x14ac:dyDescent="0.35">
      <c r="A422" t="s">
        <v>197</v>
      </c>
      <c r="B422" t="s">
        <v>13</v>
      </c>
      <c r="C422" t="s">
        <v>153</v>
      </c>
      <c r="D422" t="s">
        <v>146</v>
      </c>
      <c r="E422" t="s">
        <v>204</v>
      </c>
      <c r="F422" t="s">
        <v>199</v>
      </c>
      <c r="G422" t="s">
        <v>17</v>
      </c>
      <c r="H422">
        <v>0</v>
      </c>
      <c r="I422">
        <v>0</v>
      </c>
      <c r="J422">
        <v>0</v>
      </c>
      <c r="K422">
        <v>47</v>
      </c>
      <c r="L422">
        <v>44</v>
      </c>
      <c r="M422" s="48">
        <v>0</v>
      </c>
    </row>
    <row r="423" spans="1:13" x14ac:dyDescent="0.35">
      <c r="A423" t="s">
        <v>197</v>
      </c>
      <c r="B423" t="s">
        <v>13</v>
      </c>
      <c r="C423" t="s">
        <v>154</v>
      </c>
      <c r="D423" t="s">
        <v>146</v>
      </c>
      <c r="E423" t="s">
        <v>204</v>
      </c>
      <c r="F423" t="s">
        <v>199</v>
      </c>
      <c r="G423" t="s">
        <v>17</v>
      </c>
      <c r="H423">
        <v>0</v>
      </c>
      <c r="I423">
        <v>0</v>
      </c>
      <c r="J423">
        <v>0</v>
      </c>
      <c r="K423">
        <v>67</v>
      </c>
      <c r="L423">
        <v>51</v>
      </c>
      <c r="M423" s="48">
        <v>0</v>
      </c>
    </row>
    <row r="424" spans="1:13" x14ac:dyDescent="0.35">
      <c r="A424" t="s">
        <v>197</v>
      </c>
      <c r="B424" t="s">
        <v>13</v>
      </c>
      <c r="C424" t="s">
        <v>155</v>
      </c>
      <c r="D424" t="s">
        <v>146</v>
      </c>
      <c r="E424" t="s">
        <v>204</v>
      </c>
      <c r="F424" t="s">
        <v>199</v>
      </c>
      <c r="G424" t="s">
        <v>17</v>
      </c>
      <c r="H424">
        <v>4</v>
      </c>
      <c r="I424">
        <v>0</v>
      </c>
      <c r="J424">
        <v>2</v>
      </c>
      <c r="K424">
        <v>85</v>
      </c>
      <c r="L424">
        <v>84</v>
      </c>
      <c r="M424" s="48">
        <v>4.7619047619047603E-2</v>
      </c>
    </row>
    <row r="425" spans="1:13" x14ac:dyDescent="0.35">
      <c r="A425" t="s">
        <v>197</v>
      </c>
      <c r="B425" t="s">
        <v>13</v>
      </c>
      <c r="C425" t="s">
        <v>156</v>
      </c>
      <c r="D425" t="s">
        <v>146</v>
      </c>
      <c r="E425" t="s">
        <v>204</v>
      </c>
      <c r="F425" t="s">
        <v>199</v>
      </c>
      <c r="G425" t="s">
        <v>17</v>
      </c>
      <c r="H425">
        <v>3</v>
      </c>
      <c r="I425">
        <v>0</v>
      </c>
      <c r="J425">
        <v>1</v>
      </c>
      <c r="K425">
        <v>28</v>
      </c>
      <c r="L425">
        <v>25</v>
      </c>
      <c r="M425" s="48">
        <v>0.12</v>
      </c>
    </row>
    <row r="426" spans="1:13" x14ac:dyDescent="0.35">
      <c r="A426" t="s">
        <v>197</v>
      </c>
      <c r="B426" t="s">
        <v>13</v>
      </c>
      <c r="C426" t="s">
        <v>157</v>
      </c>
      <c r="D426" t="s">
        <v>146</v>
      </c>
      <c r="E426" t="s">
        <v>204</v>
      </c>
      <c r="F426" t="s">
        <v>199</v>
      </c>
      <c r="G426" t="s">
        <v>17</v>
      </c>
      <c r="H426">
        <v>3</v>
      </c>
      <c r="I426">
        <v>0</v>
      </c>
      <c r="J426">
        <v>0</v>
      </c>
      <c r="K426">
        <v>495</v>
      </c>
      <c r="L426">
        <v>490</v>
      </c>
      <c r="M426" s="48">
        <v>6.1224489795918399E-3</v>
      </c>
    </row>
    <row r="427" spans="1:13" x14ac:dyDescent="0.35">
      <c r="A427" t="s">
        <v>197</v>
      </c>
      <c r="B427" t="s">
        <v>13</v>
      </c>
      <c r="C427" t="s">
        <v>158</v>
      </c>
      <c r="D427" t="s">
        <v>146</v>
      </c>
      <c r="E427" t="s">
        <v>204</v>
      </c>
      <c r="F427" t="s">
        <v>199</v>
      </c>
      <c r="G427" t="s">
        <v>17</v>
      </c>
      <c r="H427">
        <v>2</v>
      </c>
      <c r="I427">
        <v>0</v>
      </c>
      <c r="J427">
        <v>1</v>
      </c>
      <c r="K427">
        <v>497</v>
      </c>
      <c r="L427">
        <v>497</v>
      </c>
      <c r="M427" s="48">
        <v>4.0241448692152904E-3</v>
      </c>
    </row>
    <row r="428" spans="1:13" x14ac:dyDescent="0.35">
      <c r="A428" t="s">
        <v>197</v>
      </c>
      <c r="B428" t="s">
        <v>13</v>
      </c>
      <c r="C428" t="s">
        <v>148</v>
      </c>
      <c r="D428" t="s">
        <v>146</v>
      </c>
      <c r="E428" t="s">
        <v>204</v>
      </c>
      <c r="F428" t="s">
        <v>199</v>
      </c>
      <c r="G428" t="s">
        <v>17</v>
      </c>
      <c r="H428">
        <v>9</v>
      </c>
      <c r="I428">
        <v>0</v>
      </c>
      <c r="J428">
        <v>2</v>
      </c>
      <c r="K428">
        <v>298</v>
      </c>
      <c r="L428">
        <v>293</v>
      </c>
      <c r="M428" s="48">
        <v>3.0716723549488099E-2</v>
      </c>
    </row>
    <row r="429" spans="1:13" x14ac:dyDescent="0.35">
      <c r="A429" t="s">
        <v>197</v>
      </c>
      <c r="B429" t="s">
        <v>13</v>
      </c>
      <c r="C429" t="s">
        <v>149</v>
      </c>
      <c r="D429" t="s">
        <v>146</v>
      </c>
      <c r="E429" t="s">
        <v>205</v>
      </c>
      <c r="F429" t="s">
        <v>199</v>
      </c>
      <c r="G429" t="s">
        <v>181</v>
      </c>
      <c r="H429">
        <v>5</v>
      </c>
      <c r="I429">
        <v>0</v>
      </c>
      <c r="J429">
        <v>2</v>
      </c>
      <c r="K429">
        <v>217</v>
      </c>
      <c r="L429">
        <v>208</v>
      </c>
      <c r="M429" s="48">
        <v>2.4038461538461502E-2</v>
      </c>
    </row>
    <row r="430" spans="1:13" x14ac:dyDescent="0.35">
      <c r="A430" t="s">
        <v>197</v>
      </c>
      <c r="B430" t="s">
        <v>13</v>
      </c>
      <c r="C430" t="s">
        <v>157</v>
      </c>
      <c r="D430" t="s">
        <v>146</v>
      </c>
      <c r="E430" t="s">
        <v>205</v>
      </c>
      <c r="F430" t="s">
        <v>199</v>
      </c>
      <c r="G430" t="s">
        <v>181</v>
      </c>
      <c r="H430">
        <v>8</v>
      </c>
      <c r="I430">
        <v>0</v>
      </c>
      <c r="J430">
        <v>1</v>
      </c>
      <c r="K430">
        <v>424</v>
      </c>
      <c r="L430">
        <v>418</v>
      </c>
      <c r="M430" s="48">
        <v>1.9138755980861202E-2</v>
      </c>
    </row>
    <row r="431" spans="1:13" x14ac:dyDescent="0.35">
      <c r="A431" t="s">
        <v>197</v>
      </c>
      <c r="B431" t="s">
        <v>13</v>
      </c>
      <c r="C431" t="s">
        <v>149</v>
      </c>
      <c r="D431" t="s">
        <v>146</v>
      </c>
      <c r="E431" t="s">
        <v>206</v>
      </c>
      <c r="F431" t="s">
        <v>199</v>
      </c>
      <c r="G431" t="s">
        <v>18</v>
      </c>
      <c r="H431">
        <v>2</v>
      </c>
      <c r="I431">
        <v>0</v>
      </c>
      <c r="J431">
        <v>0</v>
      </c>
      <c r="K431">
        <v>183</v>
      </c>
      <c r="L431">
        <v>173</v>
      </c>
      <c r="M431" s="48">
        <v>1.15606936416185E-2</v>
      </c>
    </row>
    <row r="432" spans="1:13" x14ac:dyDescent="0.35">
      <c r="A432" t="s">
        <v>197</v>
      </c>
      <c r="B432" t="s">
        <v>13</v>
      </c>
      <c r="C432" t="s">
        <v>150</v>
      </c>
      <c r="D432" t="s">
        <v>146</v>
      </c>
      <c r="E432" t="s">
        <v>206</v>
      </c>
      <c r="F432" t="s">
        <v>199</v>
      </c>
      <c r="G432" t="s">
        <v>18</v>
      </c>
      <c r="H432">
        <v>0</v>
      </c>
      <c r="I432">
        <v>0</v>
      </c>
      <c r="J432">
        <v>0</v>
      </c>
      <c r="K432">
        <v>76</v>
      </c>
      <c r="L432">
        <v>76</v>
      </c>
      <c r="M432" s="48">
        <v>0</v>
      </c>
    </row>
    <row r="433" spans="1:13" x14ac:dyDescent="0.35">
      <c r="A433" t="s">
        <v>197</v>
      </c>
      <c r="B433" t="s">
        <v>13</v>
      </c>
      <c r="C433" t="s">
        <v>151</v>
      </c>
      <c r="D433" t="s">
        <v>146</v>
      </c>
      <c r="E433" t="s">
        <v>206</v>
      </c>
      <c r="F433" t="s">
        <v>199</v>
      </c>
      <c r="G433" t="s">
        <v>18</v>
      </c>
      <c r="H433">
        <v>1</v>
      </c>
      <c r="I433">
        <v>0</v>
      </c>
      <c r="J433">
        <v>1</v>
      </c>
      <c r="K433">
        <v>39</v>
      </c>
      <c r="L433">
        <v>34</v>
      </c>
      <c r="M433" s="48">
        <v>2.9411764705882401E-2</v>
      </c>
    </row>
    <row r="434" spans="1:13" x14ac:dyDescent="0.35">
      <c r="A434" t="s">
        <v>197</v>
      </c>
      <c r="B434" t="s">
        <v>13</v>
      </c>
      <c r="C434" t="s">
        <v>152</v>
      </c>
      <c r="D434" t="s">
        <v>146</v>
      </c>
      <c r="E434" t="s">
        <v>206</v>
      </c>
      <c r="F434" t="s">
        <v>199</v>
      </c>
      <c r="G434" t="s">
        <v>18</v>
      </c>
      <c r="H434">
        <v>3</v>
      </c>
      <c r="I434">
        <v>0</v>
      </c>
      <c r="J434">
        <v>2</v>
      </c>
      <c r="K434">
        <v>19</v>
      </c>
      <c r="L434">
        <v>17</v>
      </c>
      <c r="M434" s="48">
        <v>0.17647058823529399</v>
      </c>
    </row>
    <row r="435" spans="1:13" x14ac:dyDescent="0.35">
      <c r="A435" t="s">
        <v>197</v>
      </c>
      <c r="B435" t="s">
        <v>13</v>
      </c>
      <c r="C435" t="s">
        <v>153</v>
      </c>
      <c r="D435" t="s">
        <v>146</v>
      </c>
      <c r="E435" t="s">
        <v>206</v>
      </c>
      <c r="F435" t="s">
        <v>199</v>
      </c>
      <c r="G435" t="s">
        <v>18</v>
      </c>
      <c r="H435">
        <v>0</v>
      </c>
      <c r="I435">
        <v>0</v>
      </c>
      <c r="J435">
        <v>0</v>
      </c>
      <c r="K435">
        <v>28</v>
      </c>
      <c r="L435">
        <v>28</v>
      </c>
      <c r="M435" s="48">
        <v>0</v>
      </c>
    </row>
    <row r="436" spans="1:13" x14ac:dyDescent="0.35">
      <c r="A436" t="s">
        <v>197</v>
      </c>
      <c r="B436" t="s">
        <v>13</v>
      </c>
      <c r="C436" t="s">
        <v>154</v>
      </c>
      <c r="D436" t="s">
        <v>146</v>
      </c>
      <c r="E436" t="s">
        <v>206</v>
      </c>
      <c r="F436" t="s">
        <v>199</v>
      </c>
      <c r="G436" t="s">
        <v>18</v>
      </c>
      <c r="H436">
        <v>1</v>
      </c>
      <c r="I436">
        <v>0</v>
      </c>
      <c r="J436">
        <v>1</v>
      </c>
      <c r="K436">
        <v>62</v>
      </c>
      <c r="L436">
        <v>44</v>
      </c>
      <c r="M436" s="48">
        <v>2.27272727272727E-2</v>
      </c>
    </row>
    <row r="437" spans="1:13" x14ac:dyDescent="0.35">
      <c r="A437" t="s">
        <v>197</v>
      </c>
      <c r="B437" t="s">
        <v>13</v>
      </c>
      <c r="C437" t="s">
        <v>148</v>
      </c>
      <c r="D437" t="s">
        <v>146</v>
      </c>
      <c r="E437" t="s">
        <v>206</v>
      </c>
      <c r="F437" t="s">
        <v>199</v>
      </c>
      <c r="G437" t="s">
        <v>18</v>
      </c>
      <c r="H437">
        <v>6</v>
      </c>
      <c r="I437">
        <v>0</v>
      </c>
      <c r="J437">
        <v>4</v>
      </c>
      <c r="K437">
        <v>285</v>
      </c>
      <c r="L437">
        <v>275</v>
      </c>
      <c r="M437" s="48">
        <v>2.1818181818181799E-2</v>
      </c>
    </row>
    <row r="438" spans="1:13" x14ac:dyDescent="0.35">
      <c r="A438" t="s">
        <v>197</v>
      </c>
      <c r="B438" t="s">
        <v>13</v>
      </c>
      <c r="C438" t="s">
        <v>155</v>
      </c>
      <c r="D438" t="s">
        <v>146</v>
      </c>
      <c r="E438" t="s">
        <v>206</v>
      </c>
      <c r="F438" t="s">
        <v>199</v>
      </c>
      <c r="G438" t="s">
        <v>18</v>
      </c>
      <c r="H438">
        <v>3</v>
      </c>
      <c r="I438">
        <v>0</v>
      </c>
      <c r="J438">
        <v>1</v>
      </c>
      <c r="K438">
        <v>172</v>
      </c>
      <c r="L438">
        <v>172</v>
      </c>
      <c r="M438" s="48">
        <v>1.74418604651163E-2</v>
      </c>
    </row>
    <row r="439" spans="1:13" x14ac:dyDescent="0.35">
      <c r="A439" t="s">
        <v>197</v>
      </c>
      <c r="B439" t="s">
        <v>13</v>
      </c>
      <c r="C439" t="s">
        <v>156</v>
      </c>
      <c r="D439" t="s">
        <v>146</v>
      </c>
      <c r="E439" t="s">
        <v>206</v>
      </c>
      <c r="F439" t="s">
        <v>199</v>
      </c>
      <c r="G439" t="s">
        <v>18</v>
      </c>
      <c r="H439">
        <v>3</v>
      </c>
      <c r="I439">
        <v>0</v>
      </c>
      <c r="J439">
        <v>2</v>
      </c>
      <c r="K439">
        <v>35</v>
      </c>
      <c r="L439">
        <v>32</v>
      </c>
      <c r="M439" s="48">
        <v>9.375E-2</v>
      </c>
    </row>
    <row r="440" spans="1:13" x14ac:dyDescent="0.35">
      <c r="A440" t="s">
        <v>197</v>
      </c>
      <c r="B440" t="s">
        <v>13</v>
      </c>
      <c r="C440" t="s">
        <v>157</v>
      </c>
      <c r="D440" t="s">
        <v>146</v>
      </c>
      <c r="E440" t="s">
        <v>206</v>
      </c>
      <c r="F440" t="s">
        <v>199</v>
      </c>
      <c r="G440" t="s">
        <v>18</v>
      </c>
      <c r="H440">
        <v>2</v>
      </c>
      <c r="I440">
        <v>0</v>
      </c>
      <c r="J440">
        <v>0</v>
      </c>
      <c r="K440">
        <v>404</v>
      </c>
      <c r="L440">
        <v>403</v>
      </c>
      <c r="M440" s="48">
        <v>4.96277915632754E-3</v>
      </c>
    </row>
    <row r="441" spans="1:13" x14ac:dyDescent="0.35">
      <c r="A441" t="s">
        <v>197</v>
      </c>
      <c r="B441" t="s">
        <v>13</v>
      </c>
      <c r="C441" t="s">
        <v>158</v>
      </c>
      <c r="D441" t="s">
        <v>146</v>
      </c>
      <c r="E441" t="s">
        <v>206</v>
      </c>
      <c r="F441" t="s">
        <v>199</v>
      </c>
      <c r="G441" t="s">
        <v>18</v>
      </c>
      <c r="H441">
        <v>2</v>
      </c>
      <c r="I441">
        <v>0</v>
      </c>
      <c r="J441">
        <v>2</v>
      </c>
      <c r="K441">
        <v>670</v>
      </c>
      <c r="L441">
        <v>670</v>
      </c>
      <c r="M441" s="48">
        <v>2.9850746268656699E-3</v>
      </c>
    </row>
    <row r="442" spans="1:13" x14ac:dyDescent="0.35">
      <c r="A442" t="s">
        <v>197</v>
      </c>
      <c r="B442" t="s">
        <v>13</v>
      </c>
      <c r="C442" t="s">
        <v>145</v>
      </c>
      <c r="D442" t="s">
        <v>146</v>
      </c>
      <c r="E442" t="s">
        <v>207</v>
      </c>
      <c r="F442" t="s">
        <v>199</v>
      </c>
      <c r="G442" t="s">
        <v>199</v>
      </c>
      <c r="H442">
        <v>1</v>
      </c>
      <c r="I442">
        <v>0</v>
      </c>
      <c r="J442">
        <v>0</v>
      </c>
      <c r="K442">
        <v>12</v>
      </c>
      <c r="L442">
        <v>10</v>
      </c>
      <c r="M442" s="48">
        <v>0.1</v>
      </c>
    </row>
    <row r="443" spans="1:13" x14ac:dyDescent="0.35">
      <c r="A443" t="s">
        <v>197</v>
      </c>
      <c r="B443" t="s">
        <v>13</v>
      </c>
      <c r="C443" t="s">
        <v>148</v>
      </c>
      <c r="D443" t="s">
        <v>146</v>
      </c>
      <c r="E443" t="s">
        <v>208</v>
      </c>
      <c r="F443" t="s">
        <v>199</v>
      </c>
      <c r="G443" t="s">
        <v>18</v>
      </c>
      <c r="H443">
        <v>13</v>
      </c>
      <c r="I443">
        <v>0</v>
      </c>
      <c r="J443">
        <v>5</v>
      </c>
      <c r="K443">
        <v>274</v>
      </c>
      <c r="L443">
        <v>262</v>
      </c>
      <c r="M443" s="48">
        <v>4.9618320610687001E-2</v>
      </c>
    </row>
    <row r="444" spans="1:13" x14ac:dyDescent="0.35">
      <c r="A444" t="s">
        <v>197</v>
      </c>
      <c r="B444" t="s">
        <v>13</v>
      </c>
      <c r="C444" t="s">
        <v>151</v>
      </c>
      <c r="D444" t="s">
        <v>146</v>
      </c>
      <c r="E444" t="s">
        <v>208</v>
      </c>
      <c r="F444" t="s">
        <v>199</v>
      </c>
      <c r="G444" t="s">
        <v>18</v>
      </c>
      <c r="H444">
        <v>0</v>
      </c>
      <c r="I444">
        <v>0</v>
      </c>
      <c r="J444">
        <v>0</v>
      </c>
      <c r="K444">
        <v>202</v>
      </c>
      <c r="L444">
        <v>193</v>
      </c>
      <c r="M444" s="48">
        <v>0</v>
      </c>
    </row>
    <row r="445" spans="1:13" x14ac:dyDescent="0.35">
      <c r="A445" t="s">
        <v>197</v>
      </c>
      <c r="B445" t="s">
        <v>13</v>
      </c>
      <c r="C445" t="s">
        <v>154</v>
      </c>
      <c r="D445" t="s">
        <v>146</v>
      </c>
      <c r="E445" t="s">
        <v>208</v>
      </c>
      <c r="F445" t="s">
        <v>199</v>
      </c>
      <c r="G445" t="s">
        <v>18</v>
      </c>
      <c r="H445">
        <v>0</v>
      </c>
      <c r="I445">
        <v>0</v>
      </c>
      <c r="J445">
        <v>0</v>
      </c>
      <c r="K445">
        <v>68</v>
      </c>
      <c r="L445">
        <v>50</v>
      </c>
      <c r="M445" s="48">
        <v>0</v>
      </c>
    </row>
    <row r="446" spans="1:13" x14ac:dyDescent="0.35">
      <c r="A446" t="s">
        <v>197</v>
      </c>
      <c r="B446" t="s">
        <v>13</v>
      </c>
      <c r="C446" t="s">
        <v>152</v>
      </c>
      <c r="D446" t="s">
        <v>146</v>
      </c>
      <c r="E446" t="s">
        <v>208</v>
      </c>
      <c r="F446" t="s">
        <v>199</v>
      </c>
      <c r="G446" t="s">
        <v>18</v>
      </c>
      <c r="H446">
        <v>7</v>
      </c>
      <c r="I446">
        <v>0</v>
      </c>
      <c r="J446">
        <v>3</v>
      </c>
      <c r="K446">
        <v>28</v>
      </c>
      <c r="L446">
        <v>25</v>
      </c>
      <c r="M446" s="48">
        <v>0.28000000000000003</v>
      </c>
    </row>
    <row r="447" spans="1:13" x14ac:dyDescent="0.35">
      <c r="A447" t="s">
        <v>197</v>
      </c>
      <c r="B447" t="s">
        <v>13</v>
      </c>
      <c r="C447" t="s">
        <v>153</v>
      </c>
      <c r="D447" t="s">
        <v>146</v>
      </c>
      <c r="E447" t="s">
        <v>208</v>
      </c>
      <c r="F447" t="s">
        <v>199</v>
      </c>
      <c r="G447" t="s">
        <v>18</v>
      </c>
      <c r="H447">
        <v>1</v>
      </c>
      <c r="I447">
        <v>0</v>
      </c>
      <c r="J447">
        <v>0</v>
      </c>
      <c r="K447">
        <v>51</v>
      </c>
      <c r="L447">
        <v>50</v>
      </c>
      <c r="M447" s="48">
        <v>0.02</v>
      </c>
    </row>
    <row r="448" spans="1:13" x14ac:dyDescent="0.35">
      <c r="A448" t="s">
        <v>197</v>
      </c>
      <c r="B448" t="s">
        <v>13</v>
      </c>
      <c r="C448" t="s">
        <v>155</v>
      </c>
      <c r="D448" t="s">
        <v>146</v>
      </c>
      <c r="E448" t="s">
        <v>208</v>
      </c>
      <c r="F448" t="s">
        <v>199</v>
      </c>
      <c r="G448" t="s">
        <v>18</v>
      </c>
      <c r="H448">
        <v>3</v>
      </c>
      <c r="I448">
        <v>0</v>
      </c>
      <c r="J448">
        <v>1</v>
      </c>
      <c r="K448">
        <v>144</v>
      </c>
      <c r="L448">
        <v>144</v>
      </c>
      <c r="M448" s="48">
        <v>2.0833333333333301E-2</v>
      </c>
    </row>
    <row r="449" spans="1:13" x14ac:dyDescent="0.35">
      <c r="A449" t="s">
        <v>197</v>
      </c>
      <c r="B449" t="s">
        <v>13</v>
      </c>
      <c r="C449" t="s">
        <v>156</v>
      </c>
      <c r="D449" t="s">
        <v>146</v>
      </c>
      <c r="E449" t="s">
        <v>208</v>
      </c>
      <c r="F449" t="s">
        <v>199</v>
      </c>
      <c r="G449" t="s">
        <v>18</v>
      </c>
      <c r="H449">
        <v>5</v>
      </c>
      <c r="I449">
        <v>0</v>
      </c>
      <c r="J449">
        <v>2</v>
      </c>
      <c r="K449">
        <v>39</v>
      </c>
      <c r="L449">
        <v>35</v>
      </c>
      <c r="M449" s="48">
        <v>0.14285714285714299</v>
      </c>
    </row>
    <row r="450" spans="1:13" x14ac:dyDescent="0.35">
      <c r="A450" t="s">
        <v>197</v>
      </c>
      <c r="B450" t="s">
        <v>13</v>
      </c>
      <c r="C450" t="s">
        <v>157</v>
      </c>
      <c r="D450" t="s">
        <v>146</v>
      </c>
      <c r="E450" t="s">
        <v>208</v>
      </c>
      <c r="F450" t="s">
        <v>199</v>
      </c>
      <c r="G450" t="s">
        <v>18</v>
      </c>
      <c r="H450">
        <v>6</v>
      </c>
      <c r="I450">
        <v>0</v>
      </c>
      <c r="J450">
        <v>0</v>
      </c>
      <c r="K450">
        <v>581</v>
      </c>
      <c r="L450">
        <v>564</v>
      </c>
      <c r="M450" s="48">
        <v>1.0638297872340399E-2</v>
      </c>
    </row>
    <row r="451" spans="1:13" x14ac:dyDescent="0.35">
      <c r="A451" t="s">
        <v>197</v>
      </c>
      <c r="B451" t="s">
        <v>13</v>
      </c>
      <c r="C451" t="s">
        <v>149</v>
      </c>
      <c r="D451" t="s">
        <v>146</v>
      </c>
      <c r="E451" t="s">
        <v>208</v>
      </c>
      <c r="F451" t="s">
        <v>199</v>
      </c>
      <c r="G451" t="s">
        <v>18</v>
      </c>
      <c r="H451">
        <v>3</v>
      </c>
      <c r="I451">
        <v>0</v>
      </c>
      <c r="J451">
        <v>0</v>
      </c>
      <c r="K451">
        <v>187</v>
      </c>
      <c r="L451">
        <v>179</v>
      </c>
      <c r="M451" s="48">
        <v>1.67597765363128E-2</v>
      </c>
    </row>
    <row r="452" spans="1:13" x14ac:dyDescent="0.35">
      <c r="A452" t="s">
        <v>197</v>
      </c>
      <c r="B452" t="s">
        <v>13</v>
      </c>
      <c r="C452" t="s">
        <v>158</v>
      </c>
      <c r="D452" t="s">
        <v>146</v>
      </c>
      <c r="E452" t="s">
        <v>208</v>
      </c>
      <c r="F452" t="s">
        <v>199</v>
      </c>
      <c r="G452" t="s">
        <v>18</v>
      </c>
      <c r="H452">
        <v>4</v>
      </c>
      <c r="I452">
        <v>0</v>
      </c>
      <c r="J452">
        <v>2</v>
      </c>
      <c r="K452">
        <v>699</v>
      </c>
      <c r="L452">
        <v>699</v>
      </c>
      <c r="M452" s="48">
        <v>5.72246065808298E-3</v>
      </c>
    </row>
    <row r="453" spans="1:13" x14ac:dyDescent="0.35">
      <c r="A453" t="s">
        <v>197</v>
      </c>
      <c r="B453" t="s">
        <v>13</v>
      </c>
      <c r="C453" t="s">
        <v>150</v>
      </c>
      <c r="D453" t="s">
        <v>146</v>
      </c>
      <c r="E453" t="s">
        <v>208</v>
      </c>
      <c r="F453" t="s">
        <v>199</v>
      </c>
      <c r="G453" t="s">
        <v>18</v>
      </c>
      <c r="H453">
        <v>0</v>
      </c>
      <c r="I453">
        <v>0</v>
      </c>
      <c r="J453">
        <v>0</v>
      </c>
      <c r="K453">
        <v>81</v>
      </c>
      <c r="L453">
        <v>81</v>
      </c>
      <c r="M453" s="48">
        <v>0</v>
      </c>
    </row>
    <row r="454" spans="1:13" x14ac:dyDescent="0.35">
      <c r="A454" t="s">
        <v>197</v>
      </c>
      <c r="B454" t="s">
        <v>36</v>
      </c>
      <c r="C454" t="s">
        <v>145</v>
      </c>
      <c r="D454" t="s">
        <v>146</v>
      </c>
      <c r="E454" t="s">
        <v>198</v>
      </c>
      <c r="F454" t="s">
        <v>199</v>
      </c>
      <c r="G454" t="s">
        <v>199</v>
      </c>
      <c r="H454">
        <v>8</v>
      </c>
      <c r="I454">
        <v>8</v>
      </c>
      <c r="J454">
        <v>0</v>
      </c>
      <c r="K454">
        <v>51</v>
      </c>
      <c r="L454">
        <v>46</v>
      </c>
      <c r="M454" s="48">
        <v>0.173913043478261</v>
      </c>
    </row>
    <row r="455" spans="1:13" x14ac:dyDescent="0.35">
      <c r="A455" t="s">
        <v>197</v>
      </c>
      <c r="B455" t="s">
        <v>36</v>
      </c>
      <c r="C455" t="s">
        <v>150</v>
      </c>
      <c r="D455" t="s">
        <v>146</v>
      </c>
      <c r="E455" t="s">
        <v>198</v>
      </c>
      <c r="F455" t="s">
        <v>199</v>
      </c>
      <c r="G455" t="s">
        <v>18</v>
      </c>
      <c r="H455">
        <v>1</v>
      </c>
      <c r="I455">
        <v>1</v>
      </c>
      <c r="J455">
        <v>0</v>
      </c>
      <c r="K455">
        <v>5</v>
      </c>
      <c r="L455">
        <v>5</v>
      </c>
      <c r="M455" s="48">
        <v>0.2</v>
      </c>
    </row>
    <row r="456" spans="1:13" x14ac:dyDescent="0.35">
      <c r="A456" t="s">
        <v>197</v>
      </c>
      <c r="B456" t="s">
        <v>36</v>
      </c>
      <c r="C456" t="s">
        <v>151</v>
      </c>
      <c r="D456" t="s">
        <v>146</v>
      </c>
      <c r="E456" t="s">
        <v>198</v>
      </c>
      <c r="F456" t="s">
        <v>199</v>
      </c>
      <c r="G456" t="s">
        <v>18</v>
      </c>
      <c r="H456">
        <v>1</v>
      </c>
      <c r="I456">
        <v>1</v>
      </c>
      <c r="J456">
        <v>0</v>
      </c>
      <c r="K456">
        <v>19</v>
      </c>
      <c r="L456">
        <v>18</v>
      </c>
      <c r="M456" s="48">
        <v>5.5555555555555601E-2</v>
      </c>
    </row>
    <row r="457" spans="1:13" x14ac:dyDescent="0.35">
      <c r="A457" t="s">
        <v>197</v>
      </c>
      <c r="B457" t="s">
        <v>36</v>
      </c>
      <c r="C457" t="s">
        <v>152</v>
      </c>
      <c r="D457" t="s">
        <v>146</v>
      </c>
      <c r="E457" t="s">
        <v>198</v>
      </c>
      <c r="F457" t="s">
        <v>199</v>
      </c>
      <c r="G457" t="s">
        <v>18</v>
      </c>
      <c r="H457">
        <v>20</v>
      </c>
      <c r="I457">
        <v>20</v>
      </c>
      <c r="J457">
        <v>0</v>
      </c>
      <c r="K457">
        <v>240</v>
      </c>
      <c r="L457">
        <v>215</v>
      </c>
      <c r="M457" s="48">
        <v>9.3023255813953501E-2</v>
      </c>
    </row>
    <row r="458" spans="1:13" x14ac:dyDescent="0.35">
      <c r="A458" t="s">
        <v>197</v>
      </c>
      <c r="B458" t="s">
        <v>36</v>
      </c>
      <c r="C458" t="s">
        <v>153</v>
      </c>
      <c r="D458" t="s">
        <v>146</v>
      </c>
      <c r="E458" t="s">
        <v>198</v>
      </c>
      <c r="F458" t="s">
        <v>199</v>
      </c>
      <c r="G458" t="s">
        <v>18</v>
      </c>
      <c r="H458">
        <v>1</v>
      </c>
      <c r="I458">
        <v>1</v>
      </c>
      <c r="J458">
        <v>0</v>
      </c>
      <c r="K458">
        <v>5</v>
      </c>
      <c r="L458">
        <v>5</v>
      </c>
      <c r="M458" s="48">
        <v>0.2</v>
      </c>
    </row>
    <row r="459" spans="1:13" x14ac:dyDescent="0.35">
      <c r="A459" t="s">
        <v>197</v>
      </c>
      <c r="B459" t="s">
        <v>36</v>
      </c>
      <c r="C459" t="s">
        <v>154</v>
      </c>
      <c r="D459" t="s">
        <v>146</v>
      </c>
      <c r="E459" t="s">
        <v>198</v>
      </c>
      <c r="F459" t="s">
        <v>199</v>
      </c>
      <c r="G459" t="s">
        <v>18</v>
      </c>
      <c r="H459">
        <v>2</v>
      </c>
      <c r="I459">
        <v>2</v>
      </c>
      <c r="J459">
        <v>0</v>
      </c>
      <c r="K459">
        <v>18</v>
      </c>
      <c r="L459">
        <v>17</v>
      </c>
      <c r="M459" s="48">
        <v>0.11764705882352899</v>
      </c>
    </row>
    <row r="460" spans="1:13" x14ac:dyDescent="0.35">
      <c r="A460" t="s">
        <v>197</v>
      </c>
      <c r="B460" t="s">
        <v>36</v>
      </c>
      <c r="C460" t="s">
        <v>148</v>
      </c>
      <c r="D460" t="s">
        <v>146</v>
      </c>
      <c r="E460" t="s">
        <v>198</v>
      </c>
      <c r="F460" t="s">
        <v>199</v>
      </c>
      <c r="G460" t="s">
        <v>18</v>
      </c>
      <c r="H460">
        <v>7</v>
      </c>
      <c r="I460">
        <v>7</v>
      </c>
      <c r="J460">
        <v>0</v>
      </c>
      <c r="K460">
        <v>160</v>
      </c>
      <c r="L460">
        <v>157</v>
      </c>
      <c r="M460" s="48">
        <v>4.4585987261146501E-2</v>
      </c>
    </row>
    <row r="461" spans="1:13" x14ac:dyDescent="0.35">
      <c r="A461" t="s">
        <v>197</v>
      </c>
      <c r="B461" t="s">
        <v>36</v>
      </c>
      <c r="C461" t="s">
        <v>155</v>
      </c>
      <c r="D461" t="s">
        <v>146</v>
      </c>
      <c r="E461" t="s">
        <v>198</v>
      </c>
      <c r="F461" t="s">
        <v>199</v>
      </c>
      <c r="G461" t="s">
        <v>18</v>
      </c>
      <c r="H461">
        <v>2</v>
      </c>
      <c r="I461">
        <v>2</v>
      </c>
      <c r="J461">
        <v>0</v>
      </c>
      <c r="K461">
        <v>9</v>
      </c>
      <c r="L461">
        <v>9</v>
      </c>
      <c r="M461" s="48">
        <v>0.22222222222222199</v>
      </c>
    </row>
    <row r="462" spans="1:13" x14ac:dyDescent="0.35">
      <c r="A462" t="s">
        <v>197</v>
      </c>
      <c r="B462" t="s">
        <v>36</v>
      </c>
      <c r="C462" t="s">
        <v>156</v>
      </c>
      <c r="D462" t="s">
        <v>146</v>
      </c>
      <c r="E462" t="s">
        <v>198</v>
      </c>
      <c r="F462" t="s">
        <v>199</v>
      </c>
      <c r="G462" t="s">
        <v>18</v>
      </c>
      <c r="H462">
        <v>2</v>
      </c>
      <c r="I462">
        <v>2</v>
      </c>
      <c r="J462">
        <v>0</v>
      </c>
      <c r="K462">
        <v>9</v>
      </c>
      <c r="L462">
        <v>9</v>
      </c>
      <c r="M462" s="48">
        <v>0.22222222222222199</v>
      </c>
    </row>
    <row r="463" spans="1:13" x14ac:dyDescent="0.35">
      <c r="A463" t="s">
        <v>197</v>
      </c>
      <c r="B463" t="s">
        <v>36</v>
      </c>
      <c r="C463" t="s">
        <v>157</v>
      </c>
      <c r="D463" t="s">
        <v>146</v>
      </c>
      <c r="E463" t="s">
        <v>198</v>
      </c>
      <c r="F463" t="s">
        <v>199</v>
      </c>
      <c r="G463" t="s">
        <v>18</v>
      </c>
      <c r="H463">
        <v>0</v>
      </c>
      <c r="I463">
        <v>0</v>
      </c>
      <c r="J463">
        <v>0</v>
      </c>
      <c r="K463">
        <v>13</v>
      </c>
      <c r="L463">
        <v>11</v>
      </c>
      <c r="M463" s="48">
        <v>0</v>
      </c>
    </row>
    <row r="464" spans="1:13" x14ac:dyDescent="0.35">
      <c r="A464" t="s">
        <v>197</v>
      </c>
      <c r="B464" t="s">
        <v>36</v>
      </c>
      <c r="C464" t="s">
        <v>158</v>
      </c>
      <c r="D464" t="s">
        <v>146</v>
      </c>
      <c r="E464" t="s">
        <v>198</v>
      </c>
      <c r="F464" t="s">
        <v>199</v>
      </c>
      <c r="G464" t="s">
        <v>18</v>
      </c>
      <c r="H464">
        <v>2</v>
      </c>
      <c r="I464">
        <v>2</v>
      </c>
      <c r="J464">
        <v>0</v>
      </c>
      <c r="K464">
        <v>42</v>
      </c>
      <c r="L464">
        <v>40</v>
      </c>
      <c r="M464" s="48">
        <v>0.05</v>
      </c>
    </row>
    <row r="465" spans="1:13" x14ac:dyDescent="0.35">
      <c r="A465" t="s">
        <v>197</v>
      </c>
      <c r="B465" t="s">
        <v>36</v>
      </c>
      <c r="C465" t="s">
        <v>150</v>
      </c>
      <c r="D465" t="s">
        <v>146</v>
      </c>
      <c r="E465" t="s">
        <v>200</v>
      </c>
      <c r="F465" t="s">
        <v>199</v>
      </c>
      <c r="G465" t="s">
        <v>20</v>
      </c>
      <c r="H465">
        <v>2</v>
      </c>
      <c r="I465">
        <v>2</v>
      </c>
      <c r="J465">
        <v>0</v>
      </c>
      <c r="K465">
        <v>7</v>
      </c>
      <c r="L465">
        <v>6</v>
      </c>
      <c r="M465" s="48">
        <v>0.33333333333333298</v>
      </c>
    </row>
    <row r="466" spans="1:13" x14ac:dyDescent="0.35">
      <c r="A466" t="s">
        <v>197</v>
      </c>
      <c r="B466" t="s">
        <v>36</v>
      </c>
      <c r="C466" t="s">
        <v>151</v>
      </c>
      <c r="D466" t="s">
        <v>146</v>
      </c>
      <c r="E466" t="s">
        <v>200</v>
      </c>
      <c r="F466" t="s">
        <v>199</v>
      </c>
      <c r="G466" t="s">
        <v>20</v>
      </c>
      <c r="H466">
        <v>2</v>
      </c>
      <c r="I466">
        <v>2</v>
      </c>
      <c r="J466">
        <v>0</v>
      </c>
      <c r="K466">
        <v>22</v>
      </c>
      <c r="L466">
        <v>21</v>
      </c>
      <c r="M466" s="48">
        <v>9.5238095238095205E-2</v>
      </c>
    </row>
    <row r="467" spans="1:13" x14ac:dyDescent="0.35">
      <c r="A467" t="s">
        <v>197</v>
      </c>
      <c r="B467" t="s">
        <v>36</v>
      </c>
      <c r="C467" t="s">
        <v>152</v>
      </c>
      <c r="D467" t="s">
        <v>146</v>
      </c>
      <c r="E467" t="s">
        <v>200</v>
      </c>
      <c r="F467" t="s">
        <v>199</v>
      </c>
      <c r="G467" t="s">
        <v>20</v>
      </c>
      <c r="H467">
        <v>21</v>
      </c>
      <c r="I467">
        <v>21</v>
      </c>
      <c r="J467">
        <v>0</v>
      </c>
      <c r="K467">
        <v>227</v>
      </c>
      <c r="L467">
        <v>210</v>
      </c>
      <c r="M467" s="48">
        <v>0.1</v>
      </c>
    </row>
    <row r="468" spans="1:13" x14ac:dyDescent="0.35">
      <c r="A468" t="s">
        <v>197</v>
      </c>
      <c r="B468" t="s">
        <v>36</v>
      </c>
      <c r="C468" t="s">
        <v>153</v>
      </c>
      <c r="D468" t="s">
        <v>146</v>
      </c>
      <c r="E468" t="s">
        <v>200</v>
      </c>
      <c r="F468" t="s">
        <v>199</v>
      </c>
      <c r="G468" t="s">
        <v>20</v>
      </c>
      <c r="H468">
        <v>1</v>
      </c>
      <c r="I468">
        <v>1</v>
      </c>
      <c r="J468">
        <v>0</v>
      </c>
      <c r="K468">
        <v>3</v>
      </c>
      <c r="L468">
        <v>3</v>
      </c>
      <c r="M468" s="48">
        <v>0.33333333333333298</v>
      </c>
    </row>
    <row r="469" spans="1:13" x14ac:dyDescent="0.35">
      <c r="A469" t="s">
        <v>197</v>
      </c>
      <c r="B469" t="s">
        <v>36</v>
      </c>
      <c r="C469" t="s">
        <v>154</v>
      </c>
      <c r="D469" t="s">
        <v>146</v>
      </c>
      <c r="E469" t="s">
        <v>200</v>
      </c>
      <c r="F469" t="s">
        <v>199</v>
      </c>
      <c r="G469" t="s">
        <v>20</v>
      </c>
      <c r="H469">
        <v>1</v>
      </c>
      <c r="I469">
        <v>1</v>
      </c>
      <c r="J469">
        <v>0</v>
      </c>
      <c r="K469">
        <v>22</v>
      </c>
      <c r="L469">
        <v>20</v>
      </c>
      <c r="M469" s="48">
        <v>0.05</v>
      </c>
    </row>
    <row r="470" spans="1:13" x14ac:dyDescent="0.35">
      <c r="A470" t="s">
        <v>197</v>
      </c>
      <c r="B470" t="s">
        <v>36</v>
      </c>
      <c r="C470" t="s">
        <v>148</v>
      </c>
      <c r="D470" t="s">
        <v>146</v>
      </c>
      <c r="E470" t="s">
        <v>200</v>
      </c>
      <c r="F470" t="s">
        <v>199</v>
      </c>
      <c r="G470" t="s">
        <v>20</v>
      </c>
      <c r="H470">
        <v>19</v>
      </c>
      <c r="I470">
        <v>19</v>
      </c>
      <c r="J470">
        <v>0</v>
      </c>
      <c r="K470">
        <v>239</v>
      </c>
      <c r="L470">
        <v>224</v>
      </c>
      <c r="M470" s="48">
        <v>8.4821428571428603E-2</v>
      </c>
    </row>
    <row r="471" spans="1:13" x14ac:dyDescent="0.35">
      <c r="A471" t="s">
        <v>197</v>
      </c>
      <c r="B471" t="s">
        <v>36</v>
      </c>
      <c r="C471" t="s">
        <v>155</v>
      </c>
      <c r="D471" t="s">
        <v>146</v>
      </c>
      <c r="E471" t="s">
        <v>200</v>
      </c>
      <c r="F471" t="s">
        <v>199</v>
      </c>
      <c r="G471" t="s">
        <v>20</v>
      </c>
      <c r="H471">
        <v>2</v>
      </c>
      <c r="I471">
        <v>2</v>
      </c>
      <c r="J471">
        <v>0</v>
      </c>
      <c r="K471">
        <v>8</v>
      </c>
      <c r="L471">
        <v>7</v>
      </c>
      <c r="M471" s="48">
        <v>0.28571428571428598</v>
      </c>
    </row>
    <row r="472" spans="1:13" x14ac:dyDescent="0.35">
      <c r="A472" t="s">
        <v>197</v>
      </c>
      <c r="B472" t="s">
        <v>36</v>
      </c>
      <c r="C472" t="s">
        <v>156</v>
      </c>
      <c r="D472" t="s">
        <v>146</v>
      </c>
      <c r="E472" t="s">
        <v>200</v>
      </c>
      <c r="F472" t="s">
        <v>199</v>
      </c>
      <c r="G472" t="s">
        <v>20</v>
      </c>
      <c r="H472">
        <v>2</v>
      </c>
      <c r="I472">
        <v>2</v>
      </c>
      <c r="J472">
        <v>0</v>
      </c>
      <c r="K472">
        <v>10</v>
      </c>
      <c r="L472">
        <v>9</v>
      </c>
      <c r="M472" s="48">
        <v>0.22222222222222199</v>
      </c>
    </row>
    <row r="473" spans="1:13" x14ac:dyDescent="0.35">
      <c r="A473" t="s">
        <v>197</v>
      </c>
      <c r="B473" t="s">
        <v>36</v>
      </c>
      <c r="C473" t="s">
        <v>157</v>
      </c>
      <c r="D473" t="s">
        <v>146</v>
      </c>
      <c r="E473" t="s">
        <v>200</v>
      </c>
      <c r="F473" t="s">
        <v>199</v>
      </c>
      <c r="G473" t="s">
        <v>20</v>
      </c>
      <c r="H473">
        <v>1</v>
      </c>
      <c r="I473">
        <v>1</v>
      </c>
      <c r="J473">
        <v>0</v>
      </c>
      <c r="K473">
        <v>12</v>
      </c>
      <c r="L473">
        <v>11</v>
      </c>
      <c r="M473" s="48">
        <v>9.0909090909090898E-2</v>
      </c>
    </row>
    <row r="474" spans="1:13" x14ac:dyDescent="0.35">
      <c r="A474" t="s">
        <v>197</v>
      </c>
      <c r="B474" t="s">
        <v>36</v>
      </c>
      <c r="C474" t="s">
        <v>158</v>
      </c>
      <c r="D474" t="s">
        <v>146</v>
      </c>
      <c r="E474" t="s">
        <v>200</v>
      </c>
      <c r="F474" t="s">
        <v>199</v>
      </c>
      <c r="G474" t="s">
        <v>20</v>
      </c>
      <c r="H474">
        <v>6</v>
      </c>
      <c r="I474">
        <v>6</v>
      </c>
      <c r="J474">
        <v>0</v>
      </c>
      <c r="K474">
        <v>56</v>
      </c>
      <c r="L474">
        <v>54</v>
      </c>
      <c r="M474" s="48">
        <v>0.11111111111111099</v>
      </c>
    </row>
    <row r="475" spans="1:13" x14ac:dyDescent="0.35">
      <c r="A475" t="s">
        <v>197</v>
      </c>
      <c r="B475" t="s">
        <v>36</v>
      </c>
      <c r="C475" t="s">
        <v>148</v>
      </c>
      <c r="D475" t="s">
        <v>146</v>
      </c>
      <c r="E475" t="s">
        <v>201</v>
      </c>
      <c r="F475" t="s">
        <v>199</v>
      </c>
      <c r="G475" t="s">
        <v>17</v>
      </c>
      <c r="H475">
        <v>11</v>
      </c>
      <c r="I475">
        <v>10</v>
      </c>
      <c r="J475">
        <v>0</v>
      </c>
      <c r="K475">
        <v>94</v>
      </c>
      <c r="L475">
        <v>91</v>
      </c>
      <c r="M475" s="48">
        <v>0.120879120879121</v>
      </c>
    </row>
    <row r="476" spans="1:13" x14ac:dyDescent="0.35">
      <c r="A476" t="s">
        <v>197</v>
      </c>
      <c r="B476" t="s">
        <v>36</v>
      </c>
      <c r="C476" t="s">
        <v>150</v>
      </c>
      <c r="D476" t="s">
        <v>146</v>
      </c>
      <c r="E476" t="s">
        <v>202</v>
      </c>
      <c r="F476" t="s">
        <v>199</v>
      </c>
      <c r="G476" t="s">
        <v>17</v>
      </c>
      <c r="H476">
        <v>0</v>
      </c>
      <c r="I476">
        <v>0</v>
      </c>
      <c r="J476">
        <v>0</v>
      </c>
      <c r="K476">
        <v>5</v>
      </c>
      <c r="L476">
        <v>4</v>
      </c>
      <c r="M476" s="48">
        <v>0</v>
      </c>
    </row>
    <row r="477" spans="1:13" x14ac:dyDescent="0.35">
      <c r="A477" t="s">
        <v>197</v>
      </c>
      <c r="B477" t="s">
        <v>36</v>
      </c>
      <c r="C477" t="s">
        <v>151</v>
      </c>
      <c r="D477" t="s">
        <v>146</v>
      </c>
      <c r="E477" t="s">
        <v>202</v>
      </c>
      <c r="F477" t="s">
        <v>199</v>
      </c>
      <c r="G477" t="s">
        <v>17</v>
      </c>
      <c r="H477">
        <v>0</v>
      </c>
      <c r="I477">
        <v>0</v>
      </c>
      <c r="J477">
        <v>0</v>
      </c>
      <c r="K477">
        <v>6</v>
      </c>
      <c r="L477">
        <v>6</v>
      </c>
      <c r="M477" s="48">
        <v>0</v>
      </c>
    </row>
    <row r="478" spans="1:13" x14ac:dyDescent="0.35">
      <c r="A478" t="s">
        <v>197</v>
      </c>
      <c r="B478" t="s">
        <v>36</v>
      </c>
      <c r="C478" t="s">
        <v>152</v>
      </c>
      <c r="D478" t="s">
        <v>146</v>
      </c>
      <c r="E478" t="s">
        <v>202</v>
      </c>
      <c r="F478" t="s">
        <v>199</v>
      </c>
      <c r="G478" t="s">
        <v>17</v>
      </c>
      <c r="H478">
        <v>13</v>
      </c>
      <c r="I478">
        <v>13</v>
      </c>
      <c r="J478">
        <v>0</v>
      </c>
      <c r="K478">
        <v>218</v>
      </c>
      <c r="L478">
        <v>188</v>
      </c>
      <c r="M478" s="48">
        <v>6.9148936170212796E-2</v>
      </c>
    </row>
    <row r="479" spans="1:13" x14ac:dyDescent="0.35">
      <c r="A479" t="s">
        <v>197</v>
      </c>
      <c r="B479" t="s">
        <v>36</v>
      </c>
      <c r="C479" t="s">
        <v>153</v>
      </c>
      <c r="D479" t="s">
        <v>146</v>
      </c>
      <c r="E479" t="s">
        <v>202</v>
      </c>
      <c r="F479" t="s">
        <v>199</v>
      </c>
      <c r="G479" t="s">
        <v>17</v>
      </c>
      <c r="H479">
        <v>1</v>
      </c>
      <c r="I479">
        <v>1</v>
      </c>
      <c r="J479">
        <v>0</v>
      </c>
      <c r="K479">
        <v>4</v>
      </c>
      <c r="L479">
        <v>4</v>
      </c>
      <c r="M479" s="48">
        <v>0.25</v>
      </c>
    </row>
    <row r="480" spans="1:13" x14ac:dyDescent="0.35">
      <c r="A480" t="s">
        <v>197</v>
      </c>
      <c r="B480" t="s">
        <v>36</v>
      </c>
      <c r="C480" t="s">
        <v>154</v>
      </c>
      <c r="D480" t="s">
        <v>146</v>
      </c>
      <c r="E480" t="s">
        <v>202</v>
      </c>
      <c r="F480" t="s">
        <v>199</v>
      </c>
      <c r="G480" t="s">
        <v>17</v>
      </c>
      <c r="H480">
        <v>0</v>
      </c>
      <c r="I480">
        <v>0</v>
      </c>
      <c r="J480">
        <v>0</v>
      </c>
      <c r="K480">
        <v>15</v>
      </c>
      <c r="L480">
        <v>15</v>
      </c>
      <c r="M480" s="48">
        <v>0</v>
      </c>
    </row>
    <row r="481" spans="1:13" x14ac:dyDescent="0.35">
      <c r="A481" t="s">
        <v>197</v>
      </c>
      <c r="B481" t="s">
        <v>36</v>
      </c>
      <c r="C481" t="s">
        <v>155</v>
      </c>
      <c r="D481" t="s">
        <v>146</v>
      </c>
      <c r="E481" t="s">
        <v>202</v>
      </c>
      <c r="F481" t="s">
        <v>199</v>
      </c>
      <c r="G481" t="s">
        <v>17</v>
      </c>
      <c r="H481">
        <v>2</v>
      </c>
      <c r="I481">
        <v>2</v>
      </c>
      <c r="J481">
        <v>0</v>
      </c>
      <c r="K481">
        <v>8</v>
      </c>
      <c r="L481">
        <v>8</v>
      </c>
      <c r="M481" s="48">
        <v>0.25</v>
      </c>
    </row>
    <row r="482" spans="1:13" x14ac:dyDescent="0.35">
      <c r="A482" t="s">
        <v>197</v>
      </c>
      <c r="B482" t="s">
        <v>36</v>
      </c>
      <c r="C482" t="s">
        <v>156</v>
      </c>
      <c r="D482" t="s">
        <v>146</v>
      </c>
      <c r="E482" t="s">
        <v>202</v>
      </c>
      <c r="F482" t="s">
        <v>199</v>
      </c>
      <c r="G482" t="s">
        <v>17</v>
      </c>
      <c r="H482">
        <v>1</v>
      </c>
      <c r="I482">
        <v>1</v>
      </c>
      <c r="J482">
        <v>0</v>
      </c>
      <c r="K482">
        <v>11</v>
      </c>
      <c r="L482">
        <v>10</v>
      </c>
      <c r="M482" s="48">
        <v>0.1</v>
      </c>
    </row>
    <row r="483" spans="1:13" x14ac:dyDescent="0.35">
      <c r="A483" t="s">
        <v>197</v>
      </c>
      <c r="B483" t="s">
        <v>36</v>
      </c>
      <c r="C483" t="s">
        <v>157</v>
      </c>
      <c r="D483" t="s">
        <v>146</v>
      </c>
      <c r="E483" t="s">
        <v>202</v>
      </c>
      <c r="F483" t="s">
        <v>199</v>
      </c>
      <c r="G483" t="s">
        <v>17</v>
      </c>
      <c r="H483">
        <v>0</v>
      </c>
      <c r="I483">
        <v>0</v>
      </c>
      <c r="J483">
        <v>0</v>
      </c>
      <c r="K483">
        <v>12</v>
      </c>
      <c r="L483">
        <v>11</v>
      </c>
      <c r="M483" s="48">
        <v>0</v>
      </c>
    </row>
    <row r="484" spans="1:13" x14ac:dyDescent="0.35">
      <c r="A484" t="s">
        <v>197</v>
      </c>
      <c r="B484" t="s">
        <v>36</v>
      </c>
      <c r="C484" t="s">
        <v>158</v>
      </c>
      <c r="D484" t="s">
        <v>146</v>
      </c>
      <c r="E484" t="s">
        <v>202</v>
      </c>
      <c r="F484" t="s">
        <v>199</v>
      </c>
      <c r="G484" t="s">
        <v>17</v>
      </c>
      <c r="H484">
        <v>4</v>
      </c>
      <c r="I484">
        <v>4</v>
      </c>
      <c r="J484">
        <v>0</v>
      </c>
      <c r="K484">
        <v>38</v>
      </c>
      <c r="L484">
        <v>37</v>
      </c>
      <c r="M484" s="48">
        <v>0.108108108108108</v>
      </c>
    </row>
    <row r="485" spans="1:13" x14ac:dyDescent="0.35">
      <c r="A485" t="s">
        <v>197</v>
      </c>
      <c r="B485" t="s">
        <v>36</v>
      </c>
      <c r="C485" t="s">
        <v>145</v>
      </c>
      <c r="D485" t="s">
        <v>146</v>
      </c>
      <c r="E485" t="s">
        <v>203</v>
      </c>
      <c r="F485" t="s">
        <v>199</v>
      </c>
      <c r="G485" t="s">
        <v>199</v>
      </c>
      <c r="H485">
        <v>6</v>
      </c>
      <c r="I485">
        <v>5</v>
      </c>
      <c r="J485">
        <v>0</v>
      </c>
      <c r="K485">
        <v>44</v>
      </c>
      <c r="L485">
        <v>39</v>
      </c>
      <c r="M485" s="48">
        <v>0.15384615384615399</v>
      </c>
    </row>
    <row r="486" spans="1:13" x14ac:dyDescent="0.35">
      <c r="A486" t="s">
        <v>197</v>
      </c>
      <c r="B486" t="s">
        <v>36</v>
      </c>
      <c r="C486" t="s">
        <v>150</v>
      </c>
      <c r="D486" t="s">
        <v>146</v>
      </c>
      <c r="E486" t="s">
        <v>204</v>
      </c>
      <c r="F486" t="s">
        <v>199</v>
      </c>
      <c r="G486" t="s">
        <v>17</v>
      </c>
      <c r="H486">
        <v>0</v>
      </c>
      <c r="I486">
        <v>0</v>
      </c>
      <c r="J486">
        <v>0</v>
      </c>
      <c r="K486">
        <v>6</v>
      </c>
      <c r="L486">
        <v>6</v>
      </c>
      <c r="M486" s="48">
        <v>0</v>
      </c>
    </row>
    <row r="487" spans="1:13" x14ac:dyDescent="0.35">
      <c r="A487" t="s">
        <v>197</v>
      </c>
      <c r="B487" t="s">
        <v>36</v>
      </c>
      <c r="C487" t="s">
        <v>151</v>
      </c>
      <c r="D487" t="s">
        <v>146</v>
      </c>
      <c r="E487" t="s">
        <v>204</v>
      </c>
      <c r="F487" t="s">
        <v>199</v>
      </c>
      <c r="G487" t="s">
        <v>17</v>
      </c>
      <c r="H487">
        <v>0</v>
      </c>
      <c r="I487">
        <v>0</v>
      </c>
      <c r="J487">
        <v>0</v>
      </c>
      <c r="K487">
        <v>14</v>
      </c>
      <c r="L487">
        <v>11</v>
      </c>
      <c r="M487" s="48">
        <v>0</v>
      </c>
    </row>
    <row r="488" spans="1:13" x14ac:dyDescent="0.35">
      <c r="A488" t="s">
        <v>197</v>
      </c>
      <c r="B488" t="s">
        <v>36</v>
      </c>
      <c r="C488" t="s">
        <v>152</v>
      </c>
      <c r="D488" t="s">
        <v>146</v>
      </c>
      <c r="E488" t="s">
        <v>204</v>
      </c>
      <c r="F488" t="s">
        <v>199</v>
      </c>
      <c r="G488" t="s">
        <v>17</v>
      </c>
      <c r="H488">
        <v>16</v>
      </c>
      <c r="I488">
        <v>16</v>
      </c>
      <c r="J488">
        <v>0</v>
      </c>
      <c r="K488">
        <v>126</v>
      </c>
      <c r="L488">
        <v>112</v>
      </c>
      <c r="M488" s="48">
        <v>0.14285714285714299</v>
      </c>
    </row>
    <row r="489" spans="1:13" x14ac:dyDescent="0.35">
      <c r="A489" t="s">
        <v>197</v>
      </c>
      <c r="B489" t="s">
        <v>36</v>
      </c>
      <c r="C489" t="s">
        <v>153</v>
      </c>
      <c r="D489" t="s">
        <v>146</v>
      </c>
      <c r="E489" t="s">
        <v>204</v>
      </c>
      <c r="F489" t="s">
        <v>199</v>
      </c>
      <c r="G489" t="s">
        <v>17</v>
      </c>
      <c r="H489">
        <v>0</v>
      </c>
      <c r="I489">
        <v>0</v>
      </c>
      <c r="J489">
        <v>0</v>
      </c>
      <c r="K489">
        <v>4</v>
      </c>
      <c r="L489">
        <v>4</v>
      </c>
      <c r="M489" s="48">
        <v>0</v>
      </c>
    </row>
    <row r="490" spans="1:13" x14ac:dyDescent="0.35">
      <c r="A490" t="s">
        <v>197</v>
      </c>
      <c r="B490" t="s">
        <v>36</v>
      </c>
      <c r="C490" t="s">
        <v>154</v>
      </c>
      <c r="D490" t="s">
        <v>146</v>
      </c>
      <c r="E490" t="s">
        <v>204</v>
      </c>
      <c r="F490" t="s">
        <v>199</v>
      </c>
      <c r="G490" t="s">
        <v>17</v>
      </c>
      <c r="H490">
        <v>1</v>
      </c>
      <c r="I490">
        <v>1</v>
      </c>
      <c r="J490">
        <v>0</v>
      </c>
      <c r="K490">
        <v>20</v>
      </c>
      <c r="L490">
        <v>19</v>
      </c>
      <c r="M490" s="48">
        <v>5.2631578947368397E-2</v>
      </c>
    </row>
    <row r="491" spans="1:13" x14ac:dyDescent="0.35">
      <c r="A491" t="s">
        <v>197</v>
      </c>
      <c r="B491" t="s">
        <v>36</v>
      </c>
      <c r="C491" t="s">
        <v>155</v>
      </c>
      <c r="D491" t="s">
        <v>146</v>
      </c>
      <c r="E491" t="s">
        <v>204</v>
      </c>
      <c r="F491" t="s">
        <v>199</v>
      </c>
      <c r="G491" t="s">
        <v>17</v>
      </c>
      <c r="H491">
        <v>1</v>
      </c>
      <c r="I491">
        <v>1</v>
      </c>
      <c r="J491">
        <v>0</v>
      </c>
      <c r="K491">
        <v>8</v>
      </c>
      <c r="L491">
        <v>4</v>
      </c>
      <c r="M491" s="48">
        <v>0.25</v>
      </c>
    </row>
    <row r="492" spans="1:13" x14ac:dyDescent="0.35">
      <c r="A492" t="s">
        <v>197</v>
      </c>
      <c r="B492" t="s">
        <v>36</v>
      </c>
      <c r="C492" t="s">
        <v>156</v>
      </c>
      <c r="D492" t="s">
        <v>146</v>
      </c>
      <c r="E492" t="s">
        <v>204</v>
      </c>
      <c r="F492" t="s">
        <v>199</v>
      </c>
      <c r="G492" t="s">
        <v>17</v>
      </c>
      <c r="H492">
        <v>1</v>
      </c>
      <c r="I492">
        <v>1</v>
      </c>
      <c r="J492">
        <v>0</v>
      </c>
      <c r="K492">
        <v>9</v>
      </c>
      <c r="L492">
        <v>9</v>
      </c>
      <c r="M492" s="48">
        <v>0.11111111111111099</v>
      </c>
    </row>
    <row r="493" spans="1:13" x14ac:dyDescent="0.35">
      <c r="A493" t="s">
        <v>197</v>
      </c>
      <c r="B493" t="s">
        <v>36</v>
      </c>
      <c r="C493" t="s">
        <v>157</v>
      </c>
      <c r="D493" t="s">
        <v>146</v>
      </c>
      <c r="E493" t="s">
        <v>204</v>
      </c>
      <c r="F493" t="s">
        <v>199</v>
      </c>
      <c r="G493" t="s">
        <v>17</v>
      </c>
      <c r="H493">
        <v>0</v>
      </c>
      <c r="I493">
        <v>0</v>
      </c>
      <c r="J493">
        <v>0</v>
      </c>
      <c r="K493">
        <v>12</v>
      </c>
      <c r="L493">
        <v>8</v>
      </c>
      <c r="M493" s="48">
        <v>0</v>
      </c>
    </row>
    <row r="494" spans="1:13" x14ac:dyDescent="0.35">
      <c r="A494" t="s">
        <v>197</v>
      </c>
      <c r="B494" t="s">
        <v>36</v>
      </c>
      <c r="C494" t="s">
        <v>158</v>
      </c>
      <c r="D494" t="s">
        <v>146</v>
      </c>
      <c r="E494" t="s">
        <v>204</v>
      </c>
      <c r="F494" t="s">
        <v>199</v>
      </c>
      <c r="G494" t="s">
        <v>17</v>
      </c>
      <c r="H494">
        <v>3</v>
      </c>
      <c r="I494">
        <v>3</v>
      </c>
      <c r="J494">
        <v>0</v>
      </c>
      <c r="K494">
        <v>42</v>
      </c>
      <c r="L494">
        <v>41</v>
      </c>
      <c r="M494" s="48">
        <v>7.3170731707317097E-2</v>
      </c>
    </row>
    <row r="495" spans="1:13" x14ac:dyDescent="0.35">
      <c r="A495" t="s">
        <v>197</v>
      </c>
      <c r="B495" t="s">
        <v>36</v>
      </c>
      <c r="C495" t="s">
        <v>148</v>
      </c>
      <c r="D495" t="s">
        <v>146</v>
      </c>
      <c r="E495" t="s">
        <v>204</v>
      </c>
      <c r="F495" t="s">
        <v>199</v>
      </c>
      <c r="G495" t="s">
        <v>17</v>
      </c>
      <c r="H495">
        <v>13</v>
      </c>
      <c r="I495">
        <v>12</v>
      </c>
      <c r="J495">
        <v>0</v>
      </c>
      <c r="K495">
        <v>169</v>
      </c>
      <c r="L495">
        <v>157</v>
      </c>
      <c r="M495" s="48">
        <v>8.2802547770700605E-2</v>
      </c>
    </row>
    <row r="496" spans="1:13" x14ac:dyDescent="0.35">
      <c r="A496" t="s">
        <v>197</v>
      </c>
      <c r="B496" t="s">
        <v>36</v>
      </c>
      <c r="C496" t="s">
        <v>157</v>
      </c>
      <c r="D496" t="s">
        <v>146</v>
      </c>
      <c r="E496" t="s">
        <v>205</v>
      </c>
      <c r="F496" t="s">
        <v>199</v>
      </c>
      <c r="G496" t="s">
        <v>181</v>
      </c>
      <c r="H496">
        <v>0</v>
      </c>
      <c r="I496">
        <v>0</v>
      </c>
      <c r="J496">
        <v>0</v>
      </c>
      <c r="K496">
        <v>9</v>
      </c>
      <c r="L496">
        <v>9</v>
      </c>
      <c r="M496" s="48">
        <v>0</v>
      </c>
    </row>
    <row r="497" spans="1:13" x14ac:dyDescent="0.35">
      <c r="A497" t="s">
        <v>197</v>
      </c>
      <c r="B497" t="s">
        <v>36</v>
      </c>
      <c r="C497" t="s">
        <v>150</v>
      </c>
      <c r="D497" t="s">
        <v>146</v>
      </c>
      <c r="E497" t="s">
        <v>206</v>
      </c>
      <c r="F497" t="s">
        <v>199</v>
      </c>
      <c r="G497" t="s">
        <v>18</v>
      </c>
      <c r="H497">
        <v>3</v>
      </c>
      <c r="I497">
        <v>2</v>
      </c>
      <c r="J497">
        <v>0</v>
      </c>
      <c r="K497">
        <v>10</v>
      </c>
      <c r="L497">
        <v>9</v>
      </c>
      <c r="M497" s="48">
        <v>0.33333333333333298</v>
      </c>
    </row>
    <row r="498" spans="1:13" x14ac:dyDescent="0.35">
      <c r="A498" t="s">
        <v>197</v>
      </c>
      <c r="B498" t="s">
        <v>36</v>
      </c>
      <c r="C498" t="s">
        <v>151</v>
      </c>
      <c r="D498" t="s">
        <v>146</v>
      </c>
      <c r="E498" t="s">
        <v>206</v>
      </c>
      <c r="F498" t="s">
        <v>199</v>
      </c>
      <c r="G498" t="s">
        <v>18</v>
      </c>
      <c r="H498">
        <v>0</v>
      </c>
      <c r="I498">
        <v>0</v>
      </c>
      <c r="J498">
        <v>0</v>
      </c>
      <c r="K498">
        <v>13</v>
      </c>
      <c r="L498">
        <v>13</v>
      </c>
      <c r="M498" s="48">
        <v>0</v>
      </c>
    </row>
    <row r="499" spans="1:13" x14ac:dyDescent="0.35">
      <c r="A499" t="s">
        <v>197</v>
      </c>
      <c r="B499" t="s">
        <v>36</v>
      </c>
      <c r="C499" t="s">
        <v>152</v>
      </c>
      <c r="D499" t="s">
        <v>146</v>
      </c>
      <c r="E499" t="s">
        <v>206</v>
      </c>
      <c r="F499" t="s">
        <v>199</v>
      </c>
      <c r="G499" t="s">
        <v>18</v>
      </c>
      <c r="H499">
        <v>10</v>
      </c>
      <c r="I499">
        <v>10</v>
      </c>
      <c r="J499">
        <v>0</v>
      </c>
      <c r="K499">
        <v>107</v>
      </c>
      <c r="L499">
        <v>92</v>
      </c>
      <c r="M499" s="48">
        <v>0.108695652173913</v>
      </c>
    </row>
    <row r="500" spans="1:13" x14ac:dyDescent="0.35">
      <c r="A500" t="s">
        <v>197</v>
      </c>
      <c r="B500" t="s">
        <v>36</v>
      </c>
      <c r="C500" t="s">
        <v>153</v>
      </c>
      <c r="D500" t="s">
        <v>146</v>
      </c>
      <c r="E500" t="s">
        <v>206</v>
      </c>
      <c r="F500" t="s">
        <v>199</v>
      </c>
      <c r="G500" t="s">
        <v>18</v>
      </c>
      <c r="H500">
        <v>0</v>
      </c>
      <c r="I500">
        <v>0</v>
      </c>
      <c r="J500">
        <v>0</v>
      </c>
      <c r="K500">
        <v>5</v>
      </c>
      <c r="L500">
        <v>4</v>
      </c>
      <c r="M500" s="48">
        <v>0</v>
      </c>
    </row>
    <row r="501" spans="1:13" x14ac:dyDescent="0.35">
      <c r="A501" t="s">
        <v>197</v>
      </c>
      <c r="B501" t="s">
        <v>36</v>
      </c>
      <c r="C501" t="s">
        <v>154</v>
      </c>
      <c r="D501" t="s">
        <v>146</v>
      </c>
      <c r="E501" t="s">
        <v>206</v>
      </c>
      <c r="F501" t="s">
        <v>199</v>
      </c>
      <c r="G501" t="s">
        <v>18</v>
      </c>
      <c r="H501">
        <v>0</v>
      </c>
      <c r="I501">
        <v>0</v>
      </c>
      <c r="J501">
        <v>0</v>
      </c>
      <c r="K501">
        <v>17</v>
      </c>
      <c r="L501">
        <v>17</v>
      </c>
      <c r="M501" s="48">
        <v>0</v>
      </c>
    </row>
    <row r="502" spans="1:13" x14ac:dyDescent="0.35">
      <c r="A502" t="s">
        <v>197</v>
      </c>
      <c r="B502" t="s">
        <v>36</v>
      </c>
      <c r="C502" t="s">
        <v>148</v>
      </c>
      <c r="D502" t="s">
        <v>146</v>
      </c>
      <c r="E502" t="s">
        <v>206</v>
      </c>
      <c r="F502" t="s">
        <v>199</v>
      </c>
      <c r="G502" t="s">
        <v>18</v>
      </c>
      <c r="H502">
        <v>11</v>
      </c>
      <c r="I502">
        <v>9</v>
      </c>
      <c r="J502">
        <v>1</v>
      </c>
      <c r="K502">
        <v>159</v>
      </c>
      <c r="L502">
        <v>149</v>
      </c>
      <c r="M502" s="48">
        <v>7.3825503355704702E-2</v>
      </c>
    </row>
    <row r="503" spans="1:13" x14ac:dyDescent="0.35">
      <c r="A503" t="s">
        <v>197</v>
      </c>
      <c r="B503" t="s">
        <v>36</v>
      </c>
      <c r="C503" t="s">
        <v>155</v>
      </c>
      <c r="D503" t="s">
        <v>146</v>
      </c>
      <c r="E503" t="s">
        <v>206</v>
      </c>
      <c r="F503" t="s">
        <v>199</v>
      </c>
      <c r="G503" t="s">
        <v>18</v>
      </c>
      <c r="H503">
        <v>1</v>
      </c>
      <c r="I503">
        <v>1</v>
      </c>
      <c r="J503">
        <v>0</v>
      </c>
      <c r="K503">
        <v>9</v>
      </c>
      <c r="L503">
        <v>8</v>
      </c>
      <c r="M503" s="48">
        <v>0.125</v>
      </c>
    </row>
    <row r="504" spans="1:13" x14ac:dyDescent="0.35">
      <c r="A504" t="s">
        <v>197</v>
      </c>
      <c r="B504" t="s">
        <v>36</v>
      </c>
      <c r="C504" t="s">
        <v>156</v>
      </c>
      <c r="D504" t="s">
        <v>146</v>
      </c>
      <c r="E504" t="s">
        <v>206</v>
      </c>
      <c r="F504" t="s">
        <v>199</v>
      </c>
      <c r="G504" t="s">
        <v>18</v>
      </c>
      <c r="H504">
        <v>1</v>
      </c>
      <c r="I504">
        <v>1</v>
      </c>
      <c r="J504">
        <v>0</v>
      </c>
      <c r="K504">
        <v>6</v>
      </c>
      <c r="L504">
        <v>6</v>
      </c>
      <c r="M504" s="48">
        <v>0.16666666666666699</v>
      </c>
    </row>
    <row r="505" spans="1:13" x14ac:dyDescent="0.35">
      <c r="A505" t="s">
        <v>197</v>
      </c>
      <c r="B505" t="s">
        <v>36</v>
      </c>
      <c r="C505" t="s">
        <v>157</v>
      </c>
      <c r="D505" t="s">
        <v>146</v>
      </c>
      <c r="E505" t="s">
        <v>206</v>
      </c>
      <c r="F505" t="s">
        <v>199</v>
      </c>
      <c r="G505" t="s">
        <v>18</v>
      </c>
      <c r="H505">
        <v>0</v>
      </c>
      <c r="I505">
        <v>0</v>
      </c>
      <c r="J505">
        <v>0</v>
      </c>
      <c r="K505">
        <v>8</v>
      </c>
      <c r="L505">
        <v>7</v>
      </c>
      <c r="M505" s="48">
        <v>0</v>
      </c>
    </row>
    <row r="506" spans="1:13" x14ac:dyDescent="0.35">
      <c r="A506" t="s">
        <v>197</v>
      </c>
      <c r="B506" t="s">
        <v>36</v>
      </c>
      <c r="C506" t="s">
        <v>158</v>
      </c>
      <c r="D506" t="s">
        <v>146</v>
      </c>
      <c r="E506" t="s">
        <v>206</v>
      </c>
      <c r="F506" t="s">
        <v>199</v>
      </c>
      <c r="G506" t="s">
        <v>18</v>
      </c>
      <c r="H506">
        <v>3</v>
      </c>
      <c r="I506">
        <v>3</v>
      </c>
      <c r="J506">
        <v>0</v>
      </c>
      <c r="K506">
        <v>52</v>
      </c>
      <c r="L506">
        <v>47</v>
      </c>
      <c r="M506" s="48">
        <v>6.3829787234042507E-2</v>
      </c>
    </row>
    <row r="507" spans="1:13" x14ac:dyDescent="0.35">
      <c r="A507" t="s">
        <v>197</v>
      </c>
      <c r="B507" t="s">
        <v>36</v>
      </c>
      <c r="C507" t="s">
        <v>145</v>
      </c>
      <c r="D507" t="s">
        <v>146</v>
      </c>
      <c r="E507" t="s">
        <v>207</v>
      </c>
      <c r="F507" t="s">
        <v>199</v>
      </c>
      <c r="G507" t="s">
        <v>199</v>
      </c>
      <c r="H507">
        <v>2</v>
      </c>
      <c r="I507">
        <v>2</v>
      </c>
      <c r="J507">
        <v>0</v>
      </c>
      <c r="K507">
        <v>29</v>
      </c>
      <c r="L507">
        <v>27</v>
      </c>
      <c r="M507" s="48">
        <v>7.4074074074074098E-2</v>
      </c>
    </row>
    <row r="508" spans="1:13" x14ac:dyDescent="0.35">
      <c r="A508" t="s">
        <v>197</v>
      </c>
      <c r="B508" t="s">
        <v>36</v>
      </c>
      <c r="C508" t="s">
        <v>148</v>
      </c>
      <c r="D508" t="s">
        <v>146</v>
      </c>
      <c r="E508" t="s">
        <v>208</v>
      </c>
      <c r="F508" t="s">
        <v>199</v>
      </c>
      <c r="G508" t="s">
        <v>18</v>
      </c>
      <c r="H508">
        <v>13</v>
      </c>
      <c r="I508">
        <v>13</v>
      </c>
      <c r="J508">
        <v>0</v>
      </c>
      <c r="K508">
        <v>182</v>
      </c>
      <c r="L508">
        <v>173</v>
      </c>
      <c r="M508" s="48">
        <v>7.5144508670520194E-2</v>
      </c>
    </row>
    <row r="509" spans="1:13" x14ac:dyDescent="0.35">
      <c r="A509" t="s">
        <v>197</v>
      </c>
      <c r="B509" t="s">
        <v>36</v>
      </c>
      <c r="C509" t="s">
        <v>151</v>
      </c>
      <c r="D509" t="s">
        <v>146</v>
      </c>
      <c r="E509" t="s">
        <v>208</v>
      </c>
      <c r="F509" t="s">
        <v>199</v>
      </c>
      <c r="G509" t="s">
        <v>18</v>
      </c>
      <c r="H509">
        <v>1</v>
      </c>
      <c r="I509">
        <v>1</v>
      </c>
      <c r="J509">
        <v>0</v>
      </c>
      <c r="K509">
        <v>18</v>
      </c>
      <c r="L509">
        <v>17</v>
      </c>
      <c r="M509" s="48">
        <v>5.8823529411764698E-2</v>
      </c>
    </row>
    <row r="510" spans="1:13" x14ac:dyDescent="0.35">
      <c r="A510" t="s">
        <v>197</v>
      </c>
      <c r="B510" t="s">
        <v>36</v>
      </c>
      <c r="C510" t="s">
        <v>154</v>
      </c>
      <c r="D510" t="s">
        <v>146</v>
      </c>
      <c r="E510" t="s">
        <v>208</v>
      </c>
      <c r="F510" t="s">
        <v>199</v>
      </c>
      <c r="G510" t="s">
        <v>18</v>
      </c>
      <c r="H510">
        <v>2</v>
      </c>
      <c r="I510">
        <v>2</v>
      </c>
      <c r="J510">
        <v>0</v>
      </c>
      <c r="K510">
        <v>22</v>
      </c>
      <c r="L510">
        <v>22</v>
      </c>
      <c r="M510" s="48">
        <v>9.0909090909090898E-2</v>
      </c>
    </row>
    <row r="511" spans="1:13" x14ac:dyDescent="0.35">
      <c r="A511" t="s">
        <v>197</v>
      </c>
      <c r="B511" t="s">
        <v>36</v>
      </c>
      <c r="C511" t="s">
        <v>152</v>
      </c>
      <c r="D511" t="s">
        <v>146</v>
      </c>
      <c r="E511" t="s">
        <v>208</v>
      </c>
      <c r="F511" t="s">
        <v>199</v>
      </c>
      <c r="G511" t="s">
        <v>18</v>
      </c>
      <c r="H511">
        <v>11</v>
      </c>
      <c r="I511">
        <v>11</v>
      </c>
      <c r="J511">
        <v>0</v>
      </c>
      <c r="K511">
        <v>103</v>
      </c>
      <c r="L511">
        <v>92</v>
      </c>
      <c r="M511" s="48">
        <v>0.119565217391304</v>
      </c>
    </row>
    <row r="512" spans="1:13" x14ac:dyDescent="0.35">
      <c r="A512" t="s">
        <v>197</v>
      </c>
      <c r="B512" t="s">
        <v>36</v>
      </c>
      <c r="C512" t="s">
        <v>153</v>
      </c>
      <c r="D512" t="s">
        <v>146</v>
      </c>
      <c r="E512" t="s">
        <v>208</v>
      </c>
      <c r="F512" t="s">
        <v>199</v>
      </c>
      <c r="G512" t="s">
        <v>18</v>
      </c>
      <c r="H512">
        <v>0</v>
      </c>
      <c r="I512">
        <v>0</v>
      </c>
      <c r="J512">
        <v>0</v>
      </c>
      <c r="K512">
        <v>9</v>
      </c>
      <c r="L512">
        <v>9</v>
      </c>
      <c r="M512" s="48">
        <v>0</v>
      </c>
    </row>
    <row r="513" spans="1:13" x14ac:dyDescent="0.35">
      <c r="A513" t="s">
        <v>197</v>
      </c>
      <c r="B513" t="s">
        <v>36</v>
      </c>
      <c r="C513" t="s">
        <v>155</v>
      </c>
      <c r="D513" t="s">
        <v>146</v>
      </c>
      <c r="E513" t="s">
        <v>208</v>
      </c>
      <c r="F513" t="s">
        <v>199</v>
      </c>
      <c r="G513" t="s">
        <v>18</v>
      </c>
      <c r="H513">
        <v>2</v>
      </c>
      <c r="I513">
        <v>2</v>
      </c>
      <c r="J513">
        <v>0</v>
      </c>
      <c r="K513">
        <v>9</v>
      </c>
      <c r="L513">
        <v>9</v>
      </c>
      <c r="M513" s="48">
        <v>0.22222222222222199</v>
      </c>
    </row>
    <row r="514" spans="1:13" x14ac:dyDescent="0.35">
      <c r="A514" t="s">
        <v>197</v>
      </c>
      <c r="B514" t="s">
        <v>36</v>
      </c>
      <c r="C514" t="s">
        <v>156</v>
      </c>
      <c r="D514" t="s">
        <v>146</v>
      </c>
      <c r="E514" t="s">
        <v>208</v>
      </c>
      <c r="F514" t="s">
        <v>199</v>
      </c>
      <c r="G514" t="s">
        <v>18</v>
      </c>
      <c r="H514">
        <v>2</v>
      </c>
      <c r="I514">
        <v>2</v>
      </c>
      <c r="J514">
        <v>0</v>
      </c>
      <c r="K514">
        <v>16</v>
      </c>
      <c r="L514">
        <v>16</v>
      </c>
      <c r="M514" s="48">
        <v>0.125</v>
      </c>
    </row>
    <row r="515" spans="1:13" x14ac:dyDescent="0.35">
      <c r="A515" t="s">
        <v>197</v>
      </c>
      <c r="B515" t="s">
        <v>36</v>
      </c>
      <c r="C515" t="s">
        <v>157</v>
      </c>
      <c r="D515" t="s">
        <v>146</v>
      </c>
      <c r="E515" t="s">
        <v>208</v>
      </c>
      <c r="F515" t="s">
        <v>199</v>
      </c>
      <c r="G515" t="s">
        <v>18</v>
      </c>
      <c r="H515">
        <v>1</v>
      </c>
      <c r="I515">
        <v>1</v>
      </c>
      <c r="J515">
        <v>0</v>
      </c>
      <c r="K515">
        <v>12</v>
      </c>
      <c r="L515">
        <v>12</v>
      </c>
      <c r="M515" s="48">
        <v>8.3333333333333301E-2</v>
      </c>
    </row>
    <row r="516" spans="1:13" x14ac:dyDescent="0.35">
      <c r="A516" t="s">
        <v>197</v>
      </c>
      <c r="B516" t="s">
        <v>36</v>
      </c>
      <c r="C516" t="s">
        <v>158</v>
      </c>
      <c r="D516" t="s">
        <v>146</v>
      </c>
      <c r="E516" t="s">
        <v>208</v>
      </c>
      <c r="F516" t="s">
        <v>199</v>
      </c>
      <c r="G516" t="s">
        <v>18</v>
      </c>
      <c r="H516">
        <v>4</v>
      </c>
      <c r="I516">
        <v>4</v>
      </c>
      <c r="J516">
        <v>0</v>
      </c>
      <c r="K516">
        <v>62</v>
      </c>
      <c r="L516">
        <v>57</v>
      </c>
      <c r="M516" s="48">
        <v>7.0175438596491196E-2</v>
      </c>
    </row>
    <row r="517" spans="1:13" x14ac:dyDescent="0.35">
      <c r="A517" t="s">
        <v>197</v>
      </c>
      <c r="B517" t="s">
        <v>36</v>
      </c>
      <c r="C517" t="s">
        <v>150</v>
      </c>
      <c r="D517" t="s">
        <v>146</v>
      </c>
      <c r="E517" t="s">
        <v>208</v>
      </c>
      <c r="F517" t="s">
        <v>199</v>
      </c>
      <c r="G517" t="s">
        <v>18</v>
      </c>
      <c r="H517">
        <v>2</v>
      </c>
      <c r="I517">
        <v>2</v>
      </c>
      <c r="J517">
        <v>0</v>
      </c>
      <c r="K517">
        <v>12</v>
      </c>
      <c r="L517">
        <v>11</v>
      </c>
      <c r="M517" s="48">
        <v>0.18181818181818199</v>
      </c>
    </row>
    <row r="518" spans="1:13" x14ac:dyDescent="0.35">
      <c r="A518" t="s">
        <v>209</v>
      </c>
      <c r="B518" t="s">
        <v>13</v>
      </c>
      <c r="C518" t="s">
        <v>149</v>
      </c>
      <c r="D518" t="s">
        <v>146</v>
      </c>
      <c r="E518" t="s">
        <v>210</v>
      </c>
      <c r="F518" t="s">
        <v>16</v>
      </c>
      <c r="G518" t="s">
        <v>211</v>
      </c>
      <c r="H518">
        <v>3</v>
      </c>
      <c r="I518">
        <v>0</v>
      </c>
      <c r="J518">
        <v>0</v>
      </c>
      <c r="K518">
        <v>126</v>
      </c>
      <c r="L518">
        <v>125</v>
      </c>
      <c r="M518" s="48">
        <v>2.4E-2</v>
      </c>
    </row>
    <row r="519" spans="1:13" x14ac:dyDescent="0.35">
      <c r="A519" t="s">
        <v>209</v>
      </c>
      <c r="B519" t="s">
        <v>13</v>
      </c>
      <c r="C519" t="s">
        <v>212</v>
      </c>
      <c r="D519" t="s">
        <v>146</v>
      </c>
      <c r="E519" t="s">
        <v>210</v>
      </c>
      <c r="F519" t="s">
        <v>16</v>
      </c>
      <c r="G519" t="s">
        <v>211</v>
      </c>
      <c r="H519">
        <v>7</v>
      </c>
      <c r="I519">
        <v>0</v>
      </c>
      <c r="J519">
        <v>1</v>
      </c>
      <c r="K519">
        <v>46</v>
      </c>
      <c r="L519">
        <v>43</v>
      </c>
      <c r="M519" s="48">
        <v>0.162790697674419</v>
      </c>
    </row>
    <row r="520" spans="1:13" x14ac:dyDescent="0.35">
      <c r="A520" t="s">
        <v>209</v>
      </c>
      <c r="B520" t="s">
        <v>13</v>
      </c>
      <c r="C520" t="s">
        <v>145</v>
      </c>
      <c r="D520" t="s">
        <v>146</v>
      </c>
      <c r="E520" t="s">
        <v>210</v>
      </c>
      <c r="F520" t="s">
        <v>44</v>
      </c>
      <c r="G520" t="s">
        <v>44</v>
      </c>
      <c r="H520">
        <v>0</v>
      </c>
      <c r="I520">
        <v>0</v>
      </c>
      <c r="J520">
        <v>0</v>
      </c>
      <c r="K520">
        <v>7</v>
      </c>
      <c r="L520">
        <v>7</v>
      </c>
      <c r="M520" s="48">
        <v>0</v>
      </c>
    </row>
    <row r="521" spans="1:13" x14ac:dyDescent="0.35">
      <c r="A521" t="s">
        <v>209</v>
      </c>
      <c r="B521" t="s">
        <v>13</v>
      </c>
      <c r="C521" t="s">
        <v>156</v>
      </c>
      <c r="D521" t="s">
        <v>146</v>
      </c>
      <c r="E521" t="s">
        <v>213</v>
      </c>
      <c r="F521" t="s">
        <v>21</v>
      </c>
      <c r="G521" t="s">
        <v>21</v>
      </c>
      <c r="H521">
        <v>23550</v>
      </c>
      <c r="I521">
        <v>0</v>
      </c>
      <c r="J521">
        <v>7</v>
      </c>
      <c r="K521">
        <v>87377</v>
      </c>
      <c r="L521">
        <v>62705</v>
      </c>
      <c r="M521" s="48">
        <v>0.37556813651224003</v>
      </c>
    </row>
    <row r="522" spans="1:13" x14ac:dyDescent="0.35">
      <c r="A522" t="s">
        <v>209</v>
      </c>
      <c r="B522" t="s">
        <v>13</v>
      </c>
      <c r="C522" t="s">
        <v>149</v>
      </c>
      <c r="D522" t="s">
        <v>146</v>
      </c>
      <c r="E522" t="s">
        <v>214</v>
      </c>
      <c r="F522" t="s">
        <v>16</v>
      </c>
      <c r="G522" t="s">
        <v>215</v>
      </c>
      <c r="H522">
        <v>2</v>
      </c>
      <c r="I522">
        <v>0</v>
      </c>
      <c r="J522">
        <v>1</v>
      </c>
      <c r="K522">
        <v>148</v>
      </c>
      <c r="L522">
        <v>144</v>
      </c>
      <c r="M522" s="48">
        <v>1.38888888888889E-2</v>
      </c>
    </row>
    <row r="523" spans="1:13" x14ac:dyDescent="0.35">
      <c r="A523" t="s">
        <v>209</v>
      </c>
      <c r="B523" t="s">
        <v>13</v>
      </c>
      <c r="C523" t="s">
        <v>212</v>
      </c>
      <c r="D523" t="s">
        <v>146</v>
      </c>
      <c r="E523" t="s">
        <v>214</v>
      </c>
      <c r="F523" t="s">
        <v>16</v>
      </c>
      <c r="G523" t="s">
        <v>215</v>
      </c>
      <c r="H523">
        <v>9</v>
      </c>
      <c r="I523">
        <v>0</v>
      </c>
      <c r="J523">
        <v>1</v>
      </c>
      <c r="K523">
        <v>116</v>
      </c>
      <c r="L523">
        <v>109</v>
      </c>
      <c r="M523" s="48">
        <v>8.2568807339449504E-2</v>
      </c>
    </row>
    <row r="524" spans="1:13" x14ac:dyDescent="0.35">
      <c r="A524" t="s">
        <v>209</v>
      </c>
      <c r="B524" t="s">
        <v>13</v>
      </c>
      <c r="C524" t="s">
        <v>156</v>
      </c>
      <c r="D524" t="s">
        <v>146</v>
      </c>
      <c r="E524" t="s">
        <v>216</v>
      </c>
      <c r="F524" t="s">
        <v>16</v>
      </c>
      <c r="G524" t="s">
        <v>215</v>
      </c>
      <c r="H524">
        <v>3</v>
      </c>
      <c r="I524">
        <v>0</v>
      </c>
      <c r="J524">
        <v>1</v>
      </c>
      <c r="K524">
        <v>33</v>
      </c>
      <c r="L524">
        <v>30</v>
      </c>
      <c r="M524" s="48">
        <v>0.1</v>
      </c>
    </row>
    <row r="525" spans="1:13" x14ac:dyDescent="0.35">
      <c r="A525" t="s">
        <v>209</v>
      </c>
      <c r="B525" t="s">
        <v>13</v>
      </c>
      <c r="C525" t="s">
        <v>149</v>
      </c>
      <c r="D525" t="s">
        <v>146</v>
      </c>
      <c r="E525" t="s">
        <v>217</v>
      </c>
      <c r="F525" t="s">
        <v>16</v>
      </c>
      <c r="G525" t="s">
        <v>215</v>
      </c>
      <c r="H525">
        <v>1</v>
      </c>
      <c r="I525">
        <v>0</v>
      </c>
      <c r="J525">
        <v>0</v>
      </c>
      <c r="K525">
        <v>134</v>
      </c>
      <c r="L525">
        <v>131</v>
      </c>
      <c r="M525" s="48">
        <v>7.63358778625954E-3</v>
      </c>
    </row>
    <row r="526" spans="1:13" x14ac:dyDescent="0.35">
      <c r="A526" t="s">
        <v>209</v>
      </c>
      <c r="B526" t="s">
        <v>13</v>
      </c>
      <c r="C526" t="s">
        <v>212</v>
      </c>
      <c r="D526" t="s">
        <v>146</v>
      </c>
      <c r="E526" t="s">
        <v>217</v>
      </c>
      <c r="F526" t="s">
        <v>16</v>
      </c>
      <c r="G526" t="s">
        <v>215</v>
      </c>
      <c r="H526">
        <v>9</v>
      </c>
      <c r="I526">
        <v>0</v>
      </c>
      <c r="J526">
        <v>1</v>
      </c>
      <c r="K526">
        <v>87</v>
      </c>
      <c r="L526">
        <v>78</v>
      </c>
      <c r="M526" s="48">
        <v>0.115384615384615</v>
      </c>
    </row>
    <row r="527" spans="1:13" x14ac:dyDescent="0.35">
      <c r="A527" t="s">
        <v>209</v>
      </c>
      <c r="B527" t="s">
        <v>13</v>
      </c>
      <c r="C527" t="s">
        <v>150</v>
      </c>
      <c r="D527" t="s">
        <v>146</v>
      </c>
      <c r="E527" t="s">
        <v>217</v>
      </c>
      <c r="F527" t="s">
        <v>16</v>
      </c>
      <c r="G527" t="s">
        <v>215</v>
      </c>
      <c r="H527">
        <v>1</v>
      </c>
      <c r="I527">
        <v>0</v>
      </c>
      <c r="J527">
        <v>0</v>
      </c>
      <c r="K527">
        <v>65</v>
      </c>
      <c r="L527">
        <v>64</v>
      </c>
      <c r="M527" s="48">
        <v>1.5625E-2</v>
      </c>
    </row>
    <row r="528" spans="1:13" x14ac:dyDescent="0.35">
      <c r="A528" t="s">
        <v>209</v>
      </c>
      <c r="B528" t="s">
        <v>13</v>
      </c>
      <c r="C528" t="s">
        <v>151</v>
      </c>
      <c r="D528" t="s">
        <v>146</v>
      </c>
      <c r="E528" t="s">
        <v>217</v>
      </c>
      <c r="F528" t="s">
        <v>16</v>
      </c>
      <c r="G528" t="s">
        <v>215</v>
      </c>
      <c r="H528">
        <v>1</v>
      </c>
      <c r="I528">
        <v>0</v>
      </c>
      <c r="J528">
        <v>0</v>
      </c>
      <c r="K528">
        <v>39</v>
      </c>
      <c r="L528">
        <v>38</v>
      </c>
      <c r="M528" s="48">
        <v>2.6315789473684199E-2</v>
      </c>
    </row>
    <row r="529" spans="1:13" x14ac:dyDescent="0.35">
      <c r="A529" t="s">
        <v>209</v>
      </c>
      <c r="B529" t="s">
        <v>13</v>
      </c>
      <c r="C529" t="s">
        <v>152</v>
      </c>
      <c r="D529" t="s">
        <v>146</v>
      </c>
      <c r="E529" t="s">
        <v>217</v>
      </c>
      <c r="F529" t="s">
        <v>16</v>
      </c>
      <c r="G529" t="s">
        <v>215</v>
      </c>
      <c r="H529">
        <v>4</v>
      </c>
      <c r="I529">
        <v>0</v>
      </c>
      <c r="J529">
        <v>3</v>
      </c>
      <c r="K529">
        <v>20</v>
      </c>
      <c r="L529">
        <v>20</v>
      </c>
      <c r="M529" s="48">
        <v>0.2</v>
      </c>
    </row>
    <row r="530" spans="1:13" x14ac:dyDescent="0.35">
      <c r="A530" t="s">
        <v>209</v>
      </c>
      <c r="B530" t="s">
        <v>13</v>
      </c>
      <c r="C530" t="s">
        <v>153</v>
      </c>
      <c r="D530" t="s">
        <v>146</v>
      </c>
      <c r="E530" t="s">
        <v>217</v>
      </c>
      <c r="F530" t="s">
        <v>16</v>
      </c>
      <c r="G530" t="s">
        <v>215</v>
      </c>
      <c r="H530">
        <v>0</v>
      </c>
      <c r="I530">
        <v>0</v>
      </c>
      <c r="J530">
        <v>0</v>
      </c>
      <c r="K530">
        <v>29</v>
      </c>
      <c r="L530">
        <v>27</v>
      </c>
      <c r="M530" s="48">
        <v>0</v>
      </c>
    </row>
    <row r="531" spans="1:13" x14ac:dyDescent="0.35">
      <c r="A531" t="s">
        <v>209</v>
      </c>
      <c r="B531" t="s">
        <v>13</v>
      </c>
      <c r="C531" t="s">
        <v>154</v>
      </c>
      <c r="D531" t="s">
        <v>146</v>
      </c>
      <c r="E531" t="s">
        <v>217</v>
      </c>
      <c r="F531" t="s">
        <v>16</v>
      </c>
      <c r="G531" t="s">
        <v>215</v>
      </c>
      <c r="H531">
        <v>3</v>
      </c>
      <c r="I531">
        <v>0</v>
      </c>
      <c r="J531">
        <v>2</v>
      </c>
      <c r="K531">
        <v>26</v>
      </c>
      <c r="L531">
        <v>24</v>
      </c>
      <c r="M531" s="48">
        <v>0.125</v>
      </c>
    </row>
    <row r="532" spans="1:13" x14ac:dyDescent="0.35">
      <c r="A532" t="s">
        <v>209</v>
      </c>
      <c r="B532" t="s">
        <v>13</v>
      </c>
      <c r="C532" t="s">
        <v>148</v>
      </c>
      <c r="D532" t="s">
        <v>146</v>
      </c>
      <c r="E532" t="s">
        <v>217</v>
      </c>
      <c r="F532" t="s">
        <v>16</v>
      </c>
      <c r="G532" t="s">
        <v>215</v>
      </c>
      <c r="H532">
        <v>4</v>
      </c>
      <c r="I532">
        <v>0</v>
      </c>
      <c r="J532">
        <v>3</v>
      </c>
      <c r="K532">
        <v>214</v>
      </c>
      <c r="L532">
        <v>209</v>
      </c>
      <c r="M532" s="48">
        <v>1.9138755980861202E-2</v>
      </c>
    </row>
    <row r="533" spans="1:13" x14ac:dyDescent="0.35">
      <c r="A533" t="s">
        <v>209</v>
      </c>
      <c r="B533" t="s">
        <v>13</v>
      </c>
      <c r="C533" t="s">
        <v>155</v>
      </c>
      <c r="D533" t="s">
        <v>146</v>
      </c>
      <c r="E533" t="s">
        <v>217</v>
      </c>
      <c r="F533" t="s">
        <v>16</v>
      </c>
      <c r="G533" t="s">
        <v>215</v>
      </c>
      <c r="H533">
        <v>10</v>
      </c>
      <c r="I533">
        <v>0</v>
      </c>
      <c r="J533">
        <v>1</v>
      </c>
      <c r="K533">
        <v>61</v>
      </c>
      <c r="L533">
        <v>55</v>
      </c>
      <c r="M533" s="48">
        <v>0.18181818181818199</v>
      </c>
    </row>
    <row r="534" spans="1:13" x14ac:dyDescent="0.35">
      <c r="A534" t="s">
        <v>209</v>
      </c>
      <c r="B534" t="s">
        <v>13</v>
      </c>
      <c r="C534" t="s">
        <v>157</v>
      </c>
      <c r="D534" t="s">
        <v>146</v>
      </c>
      <c r="E534" t="s">
        <v>217</v>
      </c>
      <c r="F534" t="s">
        <v>16</v>
      </c>
      <c r="G534" t="s">
        <v>215</v>
      </c>
      <c r="H534">
        <v>1</v>
      </c>
      <c r="I534">
        <v>0</v>
      </c>
      <c r="J534">
        <v>0</v>
      </c>
      <c r="K534">
        <v>506</v>
      </c>
      <c r="L534">
        <v>489</v>
      </c>
      <c r="M534" s="48">
        <v>2.0449897750511202E-3</v>
      </c>
    </row>
    <row r="535" spans="1:13" x14ac:dyDescent="0.35">
      <c r="A535" t="s">
        <v>209</v>
      </c>
      <c r="B535" t="s">
        <v>13</v>
      </c>
      <c r="C535" t="s">
        <v>158</v>
      </c>
      <c r="D535" t="s">
        <v>146</v>
      </c>
      <c r="E535" t="s">
        <v>217</v>
      </c>
      <c r="F535" t="s">
        <v>215</v>
      </c>
      <c r="G535" t="s">
        <v>215</v>
      </c>
      <c r="H535">
        <v>6</v>
      </c>
      <c r="I535">
        <v>0</v>
      </c>
      <c r="J535">
        <v>2</v>
      </c>
      <c r="K535">
        <v>617</v>
      </c>
      <c r="L535">
        <v>617</v>
      </c>
      <c r="M535" s="48">
        <v>9.7244732576985404E-3</v>
      </c>
    </row>
    <row r="536" spans="1:13" x14ac:dyDescent="0.35">
      <c r="A536" t="s">
        <v>209</v>
      </c>
      <c r="B536" t="s">
        <v>13</v>
      </c>
      <c r="C536" t="s">
        <v>156</v>
      </c>
      <c r="D536" t="s">
        <v>146</v>
      </c>
      <c r="E536" t="s">
        <v>217</v>
      </c>
      <c r="F536" t="s">
        <v>18</v>
      </c>
      <c r="G536" t="s">
        <v>18</v>
      </c>
      <c r="H536">
        <v>2</v>
      </c>
      <c r="I536">
        <v>0</v>
      </c>
      <c r="J536">
        <v>0</v>
      </c>
      <c r="K536">
        <v>27</v>
      </c>
      <c r="L536">
        <v>24</v>
      </c>
      <c r="M536" s="48">
        <v>8.3333333333333301E-2</v>
      </c>
    </row>
    <row r="537" spans="1:13" x14ac:dyDescent="0.35">
      <c r="A537" t="s">
        <v>209</v>
      </c>
      <c r="B537" t="s">
        <v>13</v>
      </c>
      <c r="C537" t="s">
        <v>145</v>
      </c>
      <c r="D537" t="s">
        <v>162</v>
      </c>
      <c r="E537" t="s">
        <v>218</v>
      </c>
      <c r="F537" t="s">
        <v>16</v>
      </c>
      <c r="G537" t="s">
        <v>16</v>
      </c>
      <c r="H537">
        <v>5</v>
      </c>
      <c r="I537">
        <v>0</v>
      </c>
      <c r="J537">
        <v>0</v>
      </c>
      <c r="K537">
        <v>26</v>
      </c>
      <c r="L537">
        <v>24</v>
      </c>
      <c r="M537" s="48">
        <v>0.20833333333333301</v>
      </c>
    </row>
    <row r="538" spans="1:13" x14ac:dyDescent="0.35">
      <c r="A538" t="s">
        <v>209</v>
      </c>
      <c r="B538" t="s">
        <v>13</v>
      </c>
      <c r="C538" t="s">
        <v>212</v>
      </c>
      <c r="D538" t="s">
        <v>146</v>
      </c>
      <c r="E538" t="s">
        <v>219</v>
      </c>
      <c r="F538" t="s">
        <v>18</v>
      </c>
      <c r="G538" t="s">
        <v>18</v>
      </c>
      <c r="H538">
        <v>3</v>
      </c>
      <c r="I538">
        <v>0</v>
      </c>
      <c r="J538">
        <v>1</v>
      </c>
      <c r="K538">
        <v>62</v>
      </c>
      <c r="L538">
        <v>57</v>
      </c>
      <c r="M538" s="48">
        <v>5.2631578947368397E-2</v>
      </c>
    </row>
    <row r="539" spans="1:13" x14ac:dyDescent="0.35">
      <c r="A539" t="s">
        <v>209</v>
      </c>
      <c r="B539" t="s">
        <v>13</v>
      </c>
      <c r="C539" t="s">
        <v>149</v>
      </c>
      <c r="D539" t="s">
        <v>146</v>
      </c>
      <c r="E539" t="s">
        <v>219</v>
      </c>
      <c r="F539" t="s">
        <v>18</v>
      </c>
      <c r="G539" t="s">
        <v>18</v>
      </c>
      <c r="H539">
        <v>0</v>
      </c>
      <c r="I539">
        <v>0</v>
      </c>
      <c r="J539">
        <v>0</v>
      </c>
      <c r="K539">
        <v>142</v>
      </c>
      <c r="L539">
        <v>137</v>
      </c>
      <c r="M539" s="48">
        <v>0</v>
      </c>
    </row>
    <row r="540" spans="1:13" x14ac:dyDescent="0.35">
      <c r="A540" t="s">
        <v>209</v>
      </c>
      <c r="B540" t="s">
        <v>13</v>
      </c>
      <c r="C540" t="s">
        <v>150</v>
      </c>
      <c r="D540" t="s">
        <v>146</v>
      </c>
      <c r="E540" t="s">
        <v>219</v>
      </c>
      <c r="F540" t="s">
        <v>18</v>
      </c>
      <c r="G540" t="s">
        <v>18</v>
      </c>
      <c r="H540">
        <v>1</v>
      </c>
      <c r="I540">
        <v>0</v>
      </c>
      <c r="J540">
        <v>0</v>
      </c>
      <c r="K540">
        <v>71</v>
      </c>
      <c r="L540">
        <v>71</v>
      </c>
      <c r="M540" s="48">
        <v>1.4084507042253501E-2</v>
      </c>
    </row>
    <row r="541" spans="1:13" x14ac:dyDescent="0.35">
      <c r="A541" t="s">
        <v>209</v>
      </c>
      <c r="B541" t="s">
        <v>13</v>
      </c>
      <c r="C541" t="s">
        <v>151</v>
      </c>
      <c r="D541" t="s">
        <v>146</v>
      </c>
      <c r="E541" t="s">
        <v>219</v>
      </c>
      <c r="F541" t="s">
        <v>18</v>
      </c>
      <c r="G541" t="s">
        <v>18</v>
      </c>
      <c r="H541">
        <v>1</v>
      </c>
      <c r="I541">
        <v>0</v>
      </c>
      <c r="J541">
        <v>0</v>
      </c>
      <c r="K541">
        <v>36</v>
      </c>
      <c r="L541">
        <v>33</v>
      </c>
      <c r="M541" s="48">
        <v>3.03030303030303E-2</v>
      </c>
    </row>
    <row r="542" spans="1:13" x14ac:dyDescent="0.35">
      <c r="A542" t="s">
        <v>209</v>
      </c>
      <c r="B542" t="s">
        <v>13</v>
      </c>
      <c r="C542" t="s">
        <v>152</v>
      </c>
      <c r="D542" t="s">
        <v>146</v>
      </c>
      <c r="E542" t="s">
        <v>219</v>
      </c>
      <c r="F542" t="s">
        <v>18</v>
      </c>
      <c r="G542" t="s">
        <v>18</v>
      </c>
      <c r="H542">
        <v>1</v>
      </c>
      <c r="I542">
        <v>0</v>
      </c>
      <c r="J542">
        <v>1</v>
      </c>
      <c r="K542">
        <v>18</v>
      </c>
      <c r="L542">
        <v>18</v>
      </c>
      <c r="M542" s="48">
        <v>5.5555555555555601E-2</v>
      </c>
    </row>
    <row r="543" spans="1:13" x14ac:dyDescent="0.35">
      <c r="A543" t="s">
        <v>209</v>
      </c>
      <c r="B543" t="s">
        <v>13</v>
      </c>
      <c r="C543" t="s">
        <v>153</v>
      </c>
      <c r="D543" t="s">
        <v>146</v>
      </c>
      <c r="E543" t="s">
        <v>219</v>
      </c>
      <c r="F543" t="s">
        <v>18</v>
      </c>
      <c r="G543" t="s">
        <v>18</v>
      </c>
      <c r="H543">
        <v>0</v>
      </c>
      <c r="I543">
        <v>0</v>
      </c>
      <c r="J543">
        <v>0</v>
      </c>
      <c r="K543">
        <v>25</v>
      </c>
      <c r="L543">
        <v>24</v>
      </c>
      <c r="M543" s="48">
        <v>0</v>
      </c>
    </row>
    <row r="544" spans="1:13" x14ac:dyDescent="0.35">
      <c r="A544" t="s">
        <v>209</v>
      </c>
      <c r="B544" t="s">
        <v>13</v>
      </c>
      <c r="C544" t="s">
        <v>154</v>
      </c>
      <c r="D544" t="s">
        <v>146</v>
      </c>
      <c r="E544" t="s">
        <v>219</v>
      </c>
      <c r="F544" t="s">
        <v>18</v>
      </c>
      <c r="G544" t="s">
        <v>18</v>
      </c>
      <c r="H544">
        <v>0</v>
      </c>
      <c r="I544">
        <v>0</v>
      </c>
      <c r="J544">
        <v>0</v>
      </c>
      <c r="K544">
        <v>49</v>
      </c>
      <c r="L544">
        <v>41</v>
      </c>
      <c r="M544" s="48">
        <v>0</v>
      </c>
    </row>
    <row r="545" spans="1:13" x14ac:dyDescent="0.35">
      <c r="A545" t="s">
        <v>209</v>
      </c>
      <c r="B545" t="s">
        <v>13</v>
      </c>
      <c r="C545" t="s">
        <v>148</v>
      </c>
      <c r="D545" t="s">
        <v>146</v>
      </c>
      <c r="E545" t="s">
        <v>219</v>
      </c>
      <c r="F545" t="s">
        <v>18</v>
      </c>
      <c r="G545" t="s">
        <v>18</v>
      </c>
      <c r="H545">
        <v>5</v>
      </c>
      <c r="I545">
        <v>0</v>
      </c>
      <c r="J545">
        <v>3</v>
      </c>
      <c r="K545">
        <v>224</v>
      </c>
      <c r="L545">
        <v>216</v>
      </c>
      <c r="M545" s="48">
        <v>2.3148148148148098E-2</v>
      </c>
    </row>
    <row r="546" spans="1:13" x14ac:dyDescent="0.35">
      <c r="A546" t="s">
        <v>209</v>
      </c>
      <c r="B546" t="s">
        <v>13</v>
      </c>
      <c r="C546" t="s">
        <v>155</v>
      </c>
      <c r="D546" t="s">
        <v>146</v>
      </c>
      <c r="E546" t="s">
        <v>219</v>
      </c>
      <c r="F546" t="s">
        <v>18</v>
      </c>
      <c r="G546" t="s">
        <v>18</v>
      </c>
      <c r="H546">
        <v>4</v>
      </c>
      <c r="I546">
        <v>0</v>
      </c>
      <c r="J546">
        <v>0</v>
      </c>
      <c r="K546">
        <v>66</v>
      </c>
      <c r="L546">
        <v>60</v>
      </c>
      <c r="M546" s="48">
        <v>6.6666666666666693E-2</v>
      </c>
    </row>
    <row r="547" spans="1:13" x14ac:dyDescent="0.35">
      <c r="A547" t="s">
        <v>209</v>
      </c>
      <c r="B547" t="s">
        <v>13</v>
      </c>
      <c r="C547" t="s">
        <v>157</v>
      </c>
      <c r="D547" t="s">
        <v>146</v>
      </c>
      <c r="E547" t="s">
        <v>219</v>
      </c>
      <c r="F547" t="s">
        <v>18</v>
      </c>
      <c r="G547" t="s">
        <v>18</v>
      </c>
      <c r="H547">
        <v>2</v>
      </c>
      <c r="I547">
        <v>0</v>
      </c>
      <c r="J547">
        <v>0</v>
      </c>
      <c r="K547">
        <v>522</v>
      </c>
      <c r="L547">
        <v>517</v>
      </c>
      <c r="M547" s="48">
        <v>3.8684719535783401E-3</v>
      </c>
    </row>
    <row r="548" spans="1:13" x14ac:dyDescent="0.35">
      <c r="A548" t="s">
        <v>209</v>
      </c>
      <c r="B548" t="s">
        <v>13</v>
      </c>
      <c r="C548" t="s">
        <v>158</v>
      </c>
      <c r="D548" t="s">
        <v>146</v>
      </c>
      <c r="E548" t="s">
        <v>219</v>
      </c>
      <c r="F548" t="s">
        <v>18</v>
      </c>
      <c r="G548" t="s">
        <v>18</v>
      </c>
      <c r="H548">
        <v>2</v>
      </c>
      <c r="I548">
        <v>0</v>
      </c>
      <c r="J548">
        <v>1</v>
      </c>
      <c r="K548">
        <v>438</v>
      </c>
      <c r="L548">
        <v>426</v>
      </c>
      <c r="M548" s="48">
        <v>4.6948356807511703E-3</v>
      </c>
    </row>
    <row r="549" spans="1:13" x14ac:dyDescent="0.35">
      <c r="A549" t="s">
        <v>209</v>
      </c>
      <c r="B549" t="s">
        <v>13</v>
      </c>
      <c r="C549" t="s">
        <v>154</v>
      </c>
      <c r="D549" t="s">
        <v>146</v>
      </c>
      <c r="E549" t="s">
        <v>219</v>
      </c>
      <c r="F549" t="s">
        <v>18</v>
      </c>
      <c r="G549" t="s">
        <v>18</v>
      </c>
      <c r="H549">
        <v>196</v>
      </c>
      <c r="I549">
        <v>0</v>
      </c>
      <c r="J549">
        <v>0</v>
      </c>
      <c r="K549">
        <v>2066</v>
      </c>
      <c r="L549">
        <v>1615</v>
      </c>
      <c r="M549" s="48">
        <v>0.121362229102167</v>
      </c>
    </row>
    <row r="550" spans="1:13" x14ac:dyDescent="0.35">
      <c r="A550" t="s">
        <v>209</v>
      </c>
      <c r="B550" t="s">
        <v>13</v>
      </c>
      <c r="C550" t="s">
        <v>158</v>
      </c>
      <c r="D550" t="s">
        <v>146</v>
      </c>
      <c r="E550" t="s">
        <v>219</v>
      </c>
      <c r="F550" t="s">
        <v>18</v>
      </c>
      <c r="G550" t="s">
        <v>18</v>
      </c>
      <c r="H550">
        <v>14181</v>
      </c>
      <c r="I550">
        <v>0</v>
      </c>
      <c r="J550">
        <v>35</v>
      </c>
      <c r="K550">
        <v>372438</v>
      </c>
      <c r="L550">
        <v>78810</v>
      </c>
      <c r="M550" s="48">
        <v>0.179939094023601</v>
      </c>
    </row>
    <row r="551" spans="1:13" x14ac:dyDescent="0.35">
      <c r="A551" t="s">
        <v>209</v>
      </c>
      <c r="B551" t="s">
        <v>13</v>
      </c>
      <c r="C551" t="s">
        <v>154</v>
      </c>
      <c r="D551" t="s">
        <v>146</v>
      </c>
      <c r="E551" t="s">
        <v>220</v>
      </c>
      <c r="F551" t="s">
        <v>215</v>
      </c>
      <c r="G551" t="s">
        <v>215</v>
      </c>
      <c r="H551">
        <v>1</v>
      </c>
      <c r="I551">
        <v>0</v>
      </c>
      <c r="J551">
        <v>0</v>
      </c>
      <c r="K551">
        <v>73</v>
      </c>
      <c r="L551">
        <v>48</v>
      </c>
      <c r="M551" s="48">
        <v>2.0833333333333301E-2</v>
      </c>
    </row>
    <row r="552" spans="1:13" x14ac:dyDescent="0.35">
      <c r="A552" t="s">
        <v>209</v>
      </c>
      <c r="B552" t="s">
        <v>13</v>
      </c>
      <c r="C552" t="s">
        <v>149</v>
      </c>
      <c r="D552" t="s">
        <v>146</v>
      </c>
      <c r="E552" t="s">
        <v>220</v>
      </c>
      <c r="F552" t="s">
        <v>215</v>
      </c>
      <c r="G552" t="s">
        <v>215</v>
      </c>
      <c r="H552">
        <v>0</v>
      </c>
      <c r="I552">
        <v>0</v>
      </c>
      <c r="J552">
        <v>0</v>
      </c>
      <c r="K552">
        <v>135</v>
      </c>
      <c r="L552">
        <v>130</v>
      </c>
      <c r="M552" s="48">
        <v>0</v>
      </c>
    </row>
    <row r="553" spans="1:13" x14ac:dyDescent="0.35">
      <c r="A553" t="s">
        <v>209</v>
      </c>
      <c r="B553" t="s">
        <v>13</v>
      </c>
      <c r="C553" t="s">
        <v>153</v>
      </c>
      <c r="D553" t="s">
        <v>146</v>
      </c>
      <c r="E553" t="s">
        <v>220</v>
      </c>
      <c r="F553" t="s">
        <v>215</v>
      </c>
      <c r="G553" t="s">
        <v>215</v>
      </c>
      <c r="H553">
        <v>0</v>
      </c>
      <c r="I553">
        <v>0</v>
      </c>
      <c r="J553">
        <v>0</v>
      </c>
      <c r="K553">
        <v>26</v>
      </c>
      <c r="L553">
        <v>24</v>
      </c>
      <c r="M553" s="48">
        <v>0</v>
      </c>
    </row>
    <row r="554" spans="1:13" x14ac:dyDescent="0.35">
      <c r="A554" t="s">
        <v>209</v>
      </c>
      <c r="B554" t="s">
        <v>13</v>
      </c>
      <c r="C554" t="s">
        <v>212</v>
      </c>
      <c r="D554" t="s">
        <v>146</v>
      </c>
      <c r="E554" t="s">
        <v>220</v>
      </c>
      <c r="F554" t="s">
        <v>215</v>
      </c>
      <c r="G554" t="s">
        <v>215</v>
      </c>
      <c r="H554">
        <v>9</v>
      </c>
      <c r="I554">
        <v>0</v>
      </c>
      <c r="J554">
        <v>0</v>
      </c>
      <c r="K554">
        <v>142</v>
      </c>
      <c r="L554">
        <v>136</v>
      </c>
      <c r="M554" s="48">
        <v>6.6176470588235295E-2</v>
      </c>
    </row>
    <row r="555" spans="1:13" x14ac:dyDescent="0.35">
      <c r="A555" t="s">
        <v>209</v>
      </c>
      <c r="B555" t="s">
        <v>13</v>
      </c>
      <c r="C555" t="s">
        <v>152</v>
      </c>
      <c r="D555" t="s">
        <v>146</v>
      </c>
      <c r="E555" t="s">
        <v>220</v>
      </c>
      <c r="F555" t="s">
        <v>215</v>
      </c>
      <c r="G555" t="s">
        <v>215</v>
      </c>
      <c r="H555">
        <v>2</v>
      </c>
      <c r="I555">
        <v>0</v>
      </c>
      <c r="J555">
        <v>1</v>
      </c>
      <c r="K555">
        <v>12</v>
      </c>
      <c r="L555">
        <v>12</v>
      </c>
      <c r="M555" s="48">
        <v>0.16666666666666699</v>
      </c>
    </row>
    <row r="556" spans="1:13" x14ac:dyDescent="0.35">
      <c r="A556" t="s">
        <v>209</v>
      </c>
      <c r="B556" t="s">
        <v>13</v>
      </c>
      <c r="C556" t="s">
        <v>158</v>
      </c>
      <c r="D556" t="s">
        <v>146</v>
      </c>
      <c r="E556" t="s">
        <v>220</v>
      </c>
      <c r="F556" t="s">
        <v>215</v>
      </c>
      <c r="G556" t="s">
        <v>215</v>
      </c>
      <c r="H556">
        <v>7</v>
      </c>
      <c r="I556">
        <v>0</v>
      </c>
      <c r="J556">
        <v>1</v>
      </c>
      <c r="K556">
        <v>573</v>
      </c>
      <c r="L556">
        <v>567</v>
      </c>
      <c r="M556" s="48">
        <v>1.2345679012345699E-2</v>
      </c>
    </row>
    <row r="557" spans="1:13" x14ac:dyDescent="0.35">
      <c r="A557" t="s">
        <v>209</v>
      </c>
      <c r="B557" t="s">
        <v>13</v>
      </c>
      <c r="C557" t="s">
        <v>151</v>
      </c>
      <c r="D557" t="s">
        <v>146</v>
      </c>
      <c r="E557" t="s">
        <v>220</v>
      </c>
      <c r="F557" t="s">
        <v>215</v>
      </c>
      <c r="G557" t="s">
        <v>215</v>
      </c>
      <c r="H557">
        <v>1</v>
      </c>
      <c r="I557">
        <v>0</v>
      </c>
      <c r="J557">
        <v>0</v>
      </c>
      <c r="K557">
        <v>38</v>
      </c>
      <c r="L557">
        <v>33</v>
      </c>
      <c r="M557" s="48">
        <v>3.03030303030303E-2</v>
      </c>
    </row>
    <row r="558" spans="1:13" x14ac:dyDescent="0.35">
      <c r="A558" t="s">
        <v>209</v>
      </c>
      <c r="B558" t="s">
        <v>13</v>
      </c>
      <c r="C558" t="s">
        <v>150</v>
      </c>
      <c r="D558" t="s">
        <v>146</v>
      </c>
      <c r="E558" t="s">
        <v>220</v>
      </c>
      <c r="F558" t="s">
        <v>215</v>
      </c>
      <c r="G558" t="s">
        <v>215</v>
      </c>
      <c r="H558">
        <v>0</v>
      </c>
      <c r="I558">
        <v>0</v>
      </c>
      <c r="J558">
        <v>0</v>
      </c>
      <c r="K558">
        <v>59</v>
      </c>
      <c r="L558">
        <v>59</v>
      </c>
      <c r="M558" s="48">
        <v>0</v>
      </c>
    </row>
    <row r="559" spans="1:13" x14ac:dyDescent="0.35">
      <c r="A559" t="s">
        <v>209</v>
      </c>
      <c r="B559" t="s">
        <v>13</v>
      </c>
      <c r="C559" t="s">
        <v>148</v>
      </c>
      <c r="D559" t="s">
        <v>146</v>
      </c>
      <c r="E559" t="s">
        <v>220</v>
      </c>
      <c r="F559" t="s">
        <v>215</v>
      </c>
      <c r="G559" t="s">
        <v>215</v>
      </c>
      <c r="H559">
        <v>4</v>
      </c>
      <c r="I559">
        <v>0</v>
      </c>
      <c r="J559">
        <v>1</v>
      </c>
      <c r="K559">
        <v>230</v>
      </c>
      <c r="L559">
        <v>220</v>
      </c>
      <c r="M559" s="48">
        <v>1.8181818181818198E-2</v>
      </c>
    </row>
    <row r="560" spans="1:13" x14ac:dyDescent="0.35">
      <c r="A560" t="s">
        <v>209</v>
      </c>
      <c r="B560" t="s">
        <v>13</v>
      </c>
      <c r="C560" t="s">
        <v>155</v>
      </c>
      <c r="D560" t="s">
        <v>146</v>
      </c>
      <c r="E560" t="s">
        <v>220</v>
      </c>
      <c r="F560" t="s">
        <v>215</v>
      </c>
      <c r="G560" t="s">
        <v>215</v>
      </c>
      <c r="H560">
        <v>3</v>
      </c>
      <c r="I560">
        <v>0</v>
      </c>
      <c r="J560">
        <v>0</v>
      </c>
      <c r="K560">
        <v>76</v>
      </c>
      <c r="L560">
        <v>69</v>
      </c>
      <c r="M560" s="48">
        <v>4.3478260869565202E-2</v>
      </c>
    </row>
    <row r="561" spans="1:13" x14ac:dyDescent="0.35">
      <c r="A561" t="s">
        <v>209</v>
      </c>
      <c r="B561" t="s">
        <v>13</v>
      </c>
      <c r="C561" t="s">
        <v>157</v>
      </c>
      <c r="D561" t="s">
        <v>146</v>
      </c>
      <c r="E561" t="s">
        <v>220</v>
      </c>
      <c r="F561" t="s">
        <v>215</v>
      </c>
      <c r="G561" t="s">
        <v>215</v>
      </c>
      <c r="H561">
        <v>1</v>
      </c>
      <c r="I561">
        <v>0</v>
      </c>
      <c r="J561">
        <v>0</v>
      </c>
      <c r="K561">
        <v>511</v>
      </c>
      <c r="L561">
        <v>503</v>
      </c>
      <c r="M561" s="48">
        <v>1.9880715705765401E-3</v>
      </c>
    </row>
    <row r="562" spans="1:13" x14ac:dyDescent="0.35">
      <c r="A562" t="s">
        <v>209</v>
      </c>
      <c r="B562" t="s">
        <v>13</v>
      </c>
      <c r="C562" t="s">
        <v>156</v>
      </c>
      <c r="D562" t="s">
        <v>146</v>
      </c>
      <c r="E562" t="s">
        <v>220</v>
      </c>
      <c r="F562" t="s">
        <v>215</v>
      </c>
      <c r="G562" t="s">
        <v>215</v>
      </c>
      <c r="H562">
        <v>5</v>
      </c>
      <c r="I562">
        <v>0</v>
      </c>
      <c r="J562">
        <v>3</v>
      </c>
      <c r="K562">
        <v>47</v>
      </c>
      <c r="L562">
        <v>43</v>
      </c>
      <c r="M562" s="48">
        <v>0.116279069767442</v>
      </c>
    </row>
    <row r="563" spans="1:13" x14ac:dyDescent="0.35">
      <c r="A563" t="s">
        <v>209</v>
      </c>
      <c r="B563" t="s">
        <v>13</v>
      </c>
      <c r="C563" t="s">
        <v>149</v>
      </c>
      <c r="D563" t="s">
        <v>146</v>
      </c>
      <c r="E563" t="s">
        <v>221</v>
      </c>
      <c r="F563" t="s">
        <v>215</v>
      </c>
      <c r="G563" t="s">
        <v>215</v>
      </c>
      <c r="H563">
        <v>1</v>
      </c>
      <c r="I563">
        <v>0</v>
      </c>
      <c r="J563">
        <v>0</v>
      </c>
      <c r="K563">
        <v>135</v>
      </c>
      <c r="L563">
        <v>132</v>
      </c>
      <c r="M563" s="48">
        <v>7.5757575757575803E-3</v>
      </c>
    </row>
    <row r="564" spans="1:13" x14ac:dyDescent="0.35">
      <c r="A564" t="s">
        <v>209</v>
      </c>
      <c r="B564" t="s">
        <v>13</v>
      </c>
      <c r="C564" t="s">
        <v>212</v>
      </c>
      <c r="D564" t="s">
        <v>146</v>
      </c>
      <c r="E564" t="s">
        <v>221</v>
      </c>
      <c r="F564" t="s">
        <v>215</v>
      </c>
      <c r="G564" t="s">
        <v>215</v>
      </c>
      <c r="H564">
        <v>3</v>
      </c>
      <c r="I564">
        <v>0</v>
      </c>
      <c r="J564">
        <v>0</v>
      </c>
      <c r="K564">
        <v>51</v>
      </c>
      <c r="L564">
        <v>46</v>
      </c>
      <c r="M564" s="48">
        <v>6.5217391304347797E-2</v>
      </c>
    </row>
    <row r="565" spans="1:13" x14ac:dyDescent="0.35">
      <c r="A565" t="s">
        <v>209</v>
      </c>
      <c r="B565" t="s">
        <v>13</v>
      </c>
      <c r="C565" t="s">
        <v>150</v>
      </c>
      <c r="D565" t="s">
        <v>146</v>
      </c>
      <c r="E565" t="s">
        <v>221</v>
      </c>
      <c r="F565" t="s">
        <v>215</v>
      </c>
      <c r="G565" t="s">
        <v>215</v>
      </c>
      <c r="H565">
        <v>0</v>
      </c>
      <c r="I565">
        <v>0</v>
      </c>
      <c r="J565">
        <v>0</v>
      </c>
      <c r="K565">
        <v>81</v>
      </c>
      <c r="L565">
        <v>81</v>
      </c>
      <c r="M565" s="48">
        <v>0</v>
      </c>
    </row>
    <row r="566" spans="1:13" x14ac:dyDescent="0.35">
      <c r="A566" t="s">
        <v>209</v>
      </c>
      <c r="B566" t="s">
        <v>13</v>
      </c>
      <c r="C566" t="s">
        <v>151</v>
      </c>
      <c r="D566" t="s">
        <v>146</v>
      </c>
      <c r="E566" t="s">
        <v>221</v>
      </c>
      <c r="F566" t="s">
        <v>215</v>
      </c>
      <c r="G566" t="s">
        <v>215</v>
      </c>
      <c r="H566">
        <v>3</v>
      </c>
      <c r="I566">
        <v>0</v>
      </c>
      <c r="J566">
        <v>1</v>
      </c>
      <c r="K566">
        <v>38</v>
      </c>
      <c r="L566">
        <v>34</v>
      </c>
      <c r="M566" s="48">
        <v>8.8235294117647106E-2</v>
      </c>
    </row>
    <row r="567" spans="1:13" x14ac:dyDescent="0.35">
      <c r="A567" t="s">
        <v>209</v>
      </c>
      <c r="B567" t="s">
        <v>13</v>
      </c>
      <c r="C567" t="s">
        <v>152</v>
      </c>
      <c r="D567" t="s">
        <v>146</v>
      </c>
      <c r="E567" t="s">
        <v>221</v>
      </c>
      <c r="F567" t="s">
        <v>215</v>
      </c>
      <c r="G567" t="s">
        <v>215</v>
      </c>
      <c r="H567">
        <v>7</v>
      </c>
      <c r="I567">
        <v>0</v>
      </c>
      <c r="J567">
        <v>2</v>
      </c>
      <c r="K567">
        <v>17</v>
      </c>
      <c r="L567">
        <v>17</v>
      </c>
      <c r="M567" s="48">
        <v>0.41176470588235298</v>
      </c>
    </row>
    <row r="568" spans="1:13" x14ac:dyDescent="0.35">
      <c r="A568" t="s">
        <v>209</v>
      </c>
      <c r="B568" t="s">
        <v>13</v>
      </c>
      <c r="C568" t="s">
        <v>153</v>
      </c>
      <c r="D568" t="s">
        <v>146</v>
      </c>
      <c r="E568" t="s">
        <v>221</v>
      </c>
      <c r="F568" t="s">
        <v>215</v>
      </c>
      <c r="G568" t="s">
        <v>215</v>
      </c>
      <c r="H568">
        <v>0</v>
      </c>
      <c r="I568">
        <v>0</v>
      </c>
      <c r="J568">
        <v>0</v>
      </c>
      <c r="K568">
        <v>23</v>
      </c>
      <c r="L568">
        <v>22</v>
      </c>
      <c r="M568" s="48">
        <v>0</v>
      </c>
    </row>
    <row r="569" spans="1:13" x14ac:dyDescent="0.35">
      <c r="A569" t="s">
        <v>209</v>
      </c>
      <c r="B569" t="s">
        <v>13</v>
      </c>
      <c r="C569" t="s">
        <v>154</v>
      </c>
      <c r="D569" t="s">
        <v>146</v>
      </c>
      <c r="E569" t="s">
        <v>221</v>
      </c>
      <c r="F569" t="s">
        <v>215</v>
      </c>
      <c r="G569" t="s">
        <v>215</v>
      </c>
      <c r="H569">
        <v>13</v>
      </c>
      <c r="I569">
        <v>1</v>
      </c>
      <c r="J569">
        <v>0</v>
      </c>
      <c r="K569">
        <v>90</v>
      </c>
      <c r="L569">
        <v>60</v>
      </c>
      <c r="M569" s="48">
        <v>0.21666666666666701</v>
      </c>
    </row>
    <row r="570" spans="1:13" x14ac:dyDescent="0.35">
      <c r="A570" t="s">
        <v>209</v>
      </c>
      <c r="B570" t="s">
        <v>13</v>
      </c>
      <c r="C570" t="s">
        <v>148</v>
      </c>
      <c r="D570" t="s">
        <v>146</v>
      </c>
      <c r="E570" t="s">
        <v>221</v>
      </c>
      <c r="F570" t="s">
        <v>215</v>
      </c>
      <c r="G570" t="s">
        <v>215</v>
      </c>
      <c r="H570">
        <v>10</v>
      </c>
      <c r="I570">
        <v>0</v>
      </c>
      <c r="J570">
        <v>3</v>
      </c>
      <c r="K570">
        <v>252</v>
      </c>
      <c r="L570">
        <v>248</v>
      </c>
      <c r="M570" s="48">
        <v>4.0322580645161303E-2</v>
      </c>
    </row>
    <row r="571" spans="1:13" x14ac:dyDescent="0.35">
      <c r="A571" t="s">
        <v>209</v>
      </c>
      <c r="B571" t="s">
        <v>13</v>
      </c>
      <c r="C571" t="s">
        <v>155</v>
      </c>
      <c r="D571" t="s">
        <v>146</v>
      </c>
      <c r="E571" t="s">
        <v>221</v>
      </c>
      <c r="F571" t="s">
        <v>215</v>
      </c>
      <c r="G571" t="s">
        <v>215</v>
      </c>
      <c r="H571">
        <v>15</v>
      </c>
      <c r="I571">
        <v>0</v>
      </c>
      <c r="J571">
        <v>2</v>
      </c>
      <c r="K571">
        <v>62</v>
      </c>
      <c r="L571">
        <v>56</v>
      </c>
      <c r="M571" s="48">
        <v>0.26785714285714302</v>
      </c>
    </row>
    <row r="572" spans="1:13" x14ac:dyDescent="0.35">
      <c r="A572" t="s">
        <v>209</v>
      </c>
      <c r="B572" t="s">
        <v>13</v>
      </c>
      <c r="C572" t="s">
        <v>156</v>
      </c>
      <c r="D572" t="s">
        <v>146</v>
      </c>
      <c r="E572" t="s">
        <v>221</v>
      </c>
      <c r="F572" t="s">
        <v>215</v>
      </c>
      <c r="G572" t="s">
        <v>215</v>
      </c>
      <c r="H572">
        <v>6</v>
      </c>
      <c r="I572">
        <v>0</v>
      </c>
      <c r="J572">
        <v>1</v>
      </c>
      <c r="K572">
        <v>41</v>
      </c>
      <c r="L572">
        <v>36</v>
      </c>
      <c r="M572" s="48">
        <v>0.16666666666666699</v>
      </c>
    </row>
    <row r="573" spans="1:13" x14ac:dyDescent="0.35">
      <c r="A573" t="s">
        <v>209</v>
      </c>
      <c r="B573" t="s">
        <v>13</v>
      </c>
      <c r="C573" t="s">
        <v>157</v>
      </c>
      <c r="D573" t="s">
        <v>146</v>
      </c>
      <c r="E573" t="s">
        <v>221</v>
      </c>
      <c r="F573" t="s">
        <v>215</v>
      </c>
      <c r="G573" t="s">
        <v>215</v>
      </c>
      <c r="H573">
        <v>2</v>
      </c>
      <c r="I573">
        <v>0</v>
      </c>
      <c r="J573">
        <v>0</v>
      </c>
      <c r="K573">
        <v>565</v>
      </c>
      <c r="L573">
        <v>560</v>
      </c>
      <c r="M573" s="48">
        <v>3.57142857142857E-3</v>
      </c>
    </row>
    <row r="574" spans="1:13" x14ac:dyDescent="0.35">
      <c r="A574" t="s">
        <v>209</v>
      </c>
      <c r="B574" t="s">
        <v>13</v>
      </c>
      <c r="C574" t="s">
        <v>158</v>
      </c>
      <c r="D574" t="s">
        <v>146</v>
      </c>
      <c r="E574" t="s">
        <v>221</v>
      </c>
      <c r="F574" t="s">
        <v>215</v>
      </c>
      <c r="G574" t="s">
        <v>215</v>
      </c>
      <c r="H574">
        <v>4</v>
      </c>
      <c r="I574">
        <v>0</v>
      </c>
      <c r="J574">
        <v>2</v>
      </c>
      <c r="K574">
        <v>531</v>
      </c>
      <c r="L574">
        <v>530</v>
      </c>
      <c r="M574" s="48">
        <v>7.5471698113207496E-3</v>
      </c>
    </row>
    <row r="575" spans="1:13" x14ac:dyDescent="0.35">
      <c r="A575" t="s">
        <v>209</v>
      </c>
      <c r="B575" t="s">
        <v>13</v>
      </c>
      <c r="C575" t="s">
        <v>212</v>
      </c>
      <c r="D575" t="s">
        <v>146</v>
      </c>
      <c r="E575" t="s">
        <v>222</v>
      </c>
      <c r="F575" t="s">
        <v>21</v>
      </c>
      <c r="G575" t="s">
        <v>21</v>
      </c>
      <c r="H575">
        <v>51184</v>
      </c>
      <c r="I575">
        <v>1</v>
      </c>
      <c r="J575">
        <v>154</v>
      </c>
      <c r="K575">
        <v>1285017</v>
      </c>
      <c r="L575">
        <v>282279</v>
      </c>
      <c r="M575" s="48">
        <v>0.181324150928691</v>
      </c>
    </row>
    <row r="576" spans="1:13" x14ac:dyDescent="0.35">
      <c r="A576" t="s">
        <v>209</v>
      </c>
      <c r="B576" t="s">
        <v>13</v>
      </c>
      <c r="C576" t="s">
        <v>212</v>
      </c>
      <c r="D576" t="s">
        <v>146</v>
      </c>
      <c r="E576" t="s">
        <v>222</v>
      </c>
      <c r="F576" t="s">
        <v>21</v>
      </c>
      <c r="G576" t="s">
        <v>21</v>
      </c>
      <c r="H576">
        <v>9558</v>
      </c>
      <c r="I576">
        <v>0</v>
      </c>
      <c r="J576">
        <v>4</v>
      </c>
      <c r="K576">
        <v>198924</v>
      </c>
      <c r="L576">
        <v>70864</v>
      </c>
      <c r="M576" s="48">
        <v>0.13487807631519499</v>
      </c>
    </row>
    <row r="577" spans="1:13" x14ac:dyDescent="0.35">
      <c r="A577" t="s">
        <v>209</v>
      </c>
      <c r="B577" t="s">
        <v>13</v>
      </c>
      <c r="C577" t="s">
        <v>149</v>
      </c>
      <c r="D577" t="s">
        <v>146</v>
      </c>
      <c r="E577" t="s">
        <v>223</v>
      </c>
      <c r="F577" t="s">
        <v>21</v>
      </c>
      <c r="G577" t="s">
        <v>21</v>
      </c>
      <c r="H577">
        <v>26004</v>
      </c>
      <c r="I577">
        <v>0</v>
      </c>
      <c r="J577">
        <v>22</v>
      </c>
      <c r="K577">
        <v>569455</v>
      </c>
      <c r="L577">
        <v>162601</v>
      </c>
      <c r="M577" s="48">
        <v>0.15992521571207999</v>
      </c>
    </row>
    <row r="578" spans="1:13" x14ac:dyDescent="0.35">
      <c r="A578" t="s">
        <v>209</v>
      </c>
      <c r="B578" t="s">
        <v>13</v>
      </c>
      <c r="C578" t="s">
        <v>150</v>
      </c>
      <c r="D578" t="s">
        <v>146</v>
      </c>
      <c r="E578" t="s">
        <v>223</v>
      </c>
      <c r="F578" t="s">
        <v>21</v>
      </c>
      <c r="G578" t="s">
        <v>21</v>
      </c>
      <c r="H578">
        <v>10074</v>
      </c>
      <c r="I578">
        <v>0</v>
      </c>
      <c r="J578">
        <v>24</v>
      </c>
      <c r="K578">
        <v>299196</v>
      </c>
      <c r="L578">
        <v>104904</v>
      </c>
      <c r="M578" s="48">
        <v>9.6030656600320299E-2</v>
      </c>
    </row>
    <row r="579" spans="1:13" x14ac:dyDescent="0.35">
      <c r="A579" t="s">
        <v>209</v>
      </c>
      <c r="B579" t="s">
        <v>13</v>
      </c>
      <c r="C579" t="s">
        <v>155</v>
      </c>
      <c r="D579" t="s">
        <v>146</v>
      </c>
      <c r="E579" t="s">
        <v>223</v>
      </c>
      <c r="F579" t="s">
        <v>21</v>
      </c>
      <c r="G579" t="s">
        <v>21</v>
      </c>
      <c r="H579">
        <v>14793</v>
      </c>
      <c r="I579">
        <v>0</v>
      </c>
      <c r="J579">
        <v>72</v>
      </c>
      <c r="K579">
        <v>392607</v>
      </c>
      <c r="L579">
        <v>85063</v>
      </c>
      <c r="M579" s="48">
        <v>0.17390639878678199</v>
      </c>
    </row>
    <row r="580" spans="1:13" x14ac:dyDescent="0.35">
      <c r="A580" t="s">
        <v>209</v>
      </c>
      <c r="B580" t="s">
        <v>13</v>
      </c>
      <c r="C580" t="s">
        <v>157</v>
      </c>
      <c r="D580" t="s">
        <v>146</v>
      </c>
      <c r="E580" t="s">
        <v>223</v>
      </c>
      <c r="F580" t="s">
        <v>21</v>
      </c>
      <c r="G580" t="s">
        <v>21</v>
      </c>
      <c r="H580">
        <v>13663</v>
      </c>
      <c r="I580">
        <v>0</v>
      </c>
      <c r="J580">
        <v>3</v>
      </c>
      <c r="K580">
        <v>344840</v>
      </c>
      <c r="L580">
        <v>81909</v>
      </c>
      <c r="M580" s="48">
        <v>0.16680706637854201</v>
      </c>
    </row>
    <row r="581" spans="1:13" x14ac:dyDescent="0.35">
      <c r="A581" t="s">
        <v>209</v>
      </c>
      <c r="B581" t="s">
        <v>13</v>
      </c>
      <c r="C581" t="s">
        <v>154</v>
      </c>
      <c r="D581" t="s">
        <v>188</v>
      </c>
      <c r="E581" t="s">
        <v>224</v>
      </c>
      <c r="F581" t="s">
        <v>21</v>
      </c>
      <c r="G581" t="s">
        <v>21</v>
      </c>
      <c r="H581">
        <v>2003</v>
      </c>
      <c r="I581">
        <v>1</v>
      </c>
      <c r="J581">
        <v>5</v>
      </c>
      <c r="K581">
        <v>192792</v>
      </c>
      <c r="L581">
        <v>128893</v>
      </c>
      <c r="M581" s="48">
        <v>1.55400215682776E-2</v>
      </c>
    </row>
    <row r="582" spans="1:13" x14ac:dyDescent="0.35">
      <c r="A582" t="s">
        <v>209</v>
      </c>
      <c r="B582" t="s">
        <v>36</v>
      </c>
      <c r="C582" t="s">
        <v>150</v>
      </c>
      <c r="D582" t="s">
        <v>146</v>
      </c>
      <c r="E582" t="s">
        <v>210</v>
      </c>
      <c r="F582" t="s">
        <v>199</v>
      </c>
      <c r="G582" t="s">
        <v>199</v>
      </c>
      <c r="H582">
        <v>1</v>
      </c>
      <c r="I582">
        <v>1</v>
      </c>
      <c r="J582">
        <v>0</v>
      </c>
      <c r="K582">
        <v>0</v>
      </c>
      <c r="L582">
        <v>5</v>
      </c>
      <c r="M582" s="48">
        <v>0.2</v>
      </c>
    </row>
    <row r="583" spans="1:13" x14ac:dyDescent="0.35">
      <c r="A583" t="s">
        <v>209</v>
      </c>
      <c r="B583" t="s">
        <v>36</v>
      </c>
      <c r="C583" t="s">
        <v>151</v>
      </c>
      <c r="D583" t="s">
        <v>146</v>
      </c>
      <c r="E583" t="s">
        <v>210</v>
      </c>
      <c r="F583" t="s">
        <v>199</v>
      </c>
      <c r="G583" t="s">
        <v>199</v>
      </c>
      <c r="H583">
        <v>0</v>
      </c>
      <c r="I583">
        <v>0</v>
      </c>
      <c r="J583">
        <v>0</v>
      </c>
      <c r="K583">
        <v>0</v>
      </c>
      <c r="L583">
        <v>10</v>
      </c>
      <c r="M583" s="48">
        <v>0</v>
      </c>
    </row>
    <row r="584" spans="1:13" x14ac:dyDescent="0.35">
      <c r="A584" t="s">
        <v>209</v>
      </c>
      <c r="B584" t="s">
        <v>36</v>
      </c>
      <c r="C584" t="s">
        <v>152</v>
      </c>
      <c r="D584" t="s">
        <v>146</v>
      </c>
      <c r="E584" t="s">
        <v>210</v>
      </c>
      <c r="F584" t="s">
        <v>199</v>
      </c>
      <c r="G584" t="s">
        <v>199</v>
      </c>
      <c r="H584">
        <v>9</v>
      </c>
      <c r="I584">
        <v>9</v>
      </c>
      <c r="J584">
        <v>0</v>
      </c>
      <c r="K584">
        <v>0</v>
      </c>
      <c r="L584">
        <v>133</v>
      </c>
      <c r="M584" s="48">
        <v>6.7669172932330796E-2</v>
      </c>
    </row>
    <row r="585" spans="1:13" x14ac:dyDescent="0.35">
      <c r="A585" t="s">
        <v>209</v>
      </c>
      <c r="B585" t="s">
        <v>36</v>
      </c>
      <c r="C585" t="s">
        <v>153</v>
      </c>
      <c r="D585" t="s">
        <v>146</v>
      </c>
      <c r="E585" t="s">
        <v>210</v>
      </c>
      <c r="F585" t="s">
        <v>199</v>
      </c>
      <c r="G585" t="s">
        <v>199</v>
      </c>
      <c r="H585">
        <v>0</v>
      </c>
      <c r="I585">
        <v>0</v>
      </c>
      <c r="J585">
        <v>0</v>
      </c>
      <c r="K585">
        <v>0</v>
      </c>
      <c r="L585">
        <v>3</v>
      </c>
      <c r="M585" s="48">
        <v>0</v>
      </c>
    </row>
    <row r="586" spans="1:13" x14ac:dyDescent="0.35">
      <c r="A586" t="s">
        <v>209</v>
      </c>
      <c r="B586" t="s">
        <v>36</v>
      </c>
      <c r="C586" t="s">
        <v>154</v>
      </c>
      <c r="D586" t="s">
        <v>146</v>
      </c>
      <c r="E586" t="s">
        <v>210</v>
      </c>
      <c r="F586" t="s">
        <v>199</v>
      </c>
      <c r="G586" t="s">
        <v>199</v>
      </c>
      <c r="H586">
        <v>0</v>
      </c>
      <c r="I586">
        <v>0</v>
      </c>
      <c r="J586">
        <v>0</v>
      </c>
      <c r="K586">
        <v>0</v>
      </c>
      <c r="L586">
        <v>12</v>
      </c>
      <c r="M586" s="48">
        <v>0</v>
      </c>
    </row>
    <row r="587" spans="1:13" x14ac:dyDescent="0.35">
      <c r="A587" t="s">
        <v>209</v>
      </c>
      <c r="B587" t="s">
        <v>36</v>
      </c>
      <c r="C587" t="s">
        <v>148</v>
      </c>
      <c r="D587" t="s">
        <v>146</v>
      </c>
      <c r="E587" t="s">
        <v>210</v>
      </c>
      <c r="F587" t="s">
        <v>199</v>
      </c>
      <c r="G587" t="s">
        <v>199</v>
      </c>
      <c r="H587">
        <v>23</v>
      </c>
      <c r="I587">
        <v>23</v>
      </c>
      <c r="J587">
        <v>0</v>
      </c>
      <c r="K587">
        <v>0</v>
      </c>
      <c r="L587">
        <v>259</v>
      </c>
      <c r="M587" s="48">
        <v>8.8803088803088806E-2</v>
      </c>
    </row>
    <row r="588" spans="1:13" x14ac:dyDescent="0.35">
      <c r="A588" t="s">
        <v>209</v>
      </c>
      <c r="B588" t="s">
        <v>36</v>
      </c>
      <c r="C588" t="s">
        <v>155</v>
      </c>
      <c r="D588" t="s">
        <v>146</v>
      </c>
      <c r="E588" t="s">
        <v>210</v>
      </c>
      <c r="F588" t="s">
        <v>199</v>
      </c>
      <c r="G588" t="s">
        <v>199</v>
      </c>
      <c r="H588">
        <v>1</v>
      </c>
      <c r="I588">
        <v>1</v>
      </c>
      <c r="J588">
        <v>0</v>
      </c>
      <c r="K588">
        <v>0</v>
      </c>
      <c r="L588">
        <v>7</v>
      </c>
      <c r="M588" s="48">
        <v>0.14285714285714299</v>
      </c>
    </row>
    <row r="589" spans="1:13" x14ac:dyDescent="0.35">
      <c r="A589" t="s">
        <v>209</v>
      </c>
      <c r="B589" t="s">
        <v>36</v>
      </c>
      <c r="C589" t="s">
        <v>156</v>
      </c>
      <c r="D589" t="s">
        <v>146</v>
      </c>
      <c r="E589" t="s">
        <v>210</v>
      </c>
      <c r="F589" t="s">
        <v>199</v>
      </c>
      <c r="G589" t="s">
        <v>199</v>
      </c>
      <c r="H589">
        <v>1</v>
      </c>
      <c r="I589">
        <v>1</v>
      </c>
      <c r="J589">
        <v>0</v>
      </c>
      <c r="K589">
        <v>0</v>
      </c>
      <c r="L589">
        <v>9</v>
      </c>
      <c r="M589" s="48">
        <v>0.11111111111111099</v>
      </c>
    </row>
    <row r="590" spans="1:13" x14ac:dyDescent="0.35">
      <c r="A590" t="s">
        <v>209</v>
      </c>
      <c r="B590" t="s">
        <v>36</v>
      </c>
      <c r="C590" t="s">
        <v>157</v>
      </c>
      <c r="D590" t="s">
        <v>146</v>
      </c>
      <c r="E590" t="s">
        <v>210</v>
      </c>
      <c r="F590" t="s">
        <v>199</v>
      </c>
      <c r="G590" t="s">
        <v>199</v>
      </c>
      <c r="H590">
        <v>0</v>
      </c>
      <c r="I590">
        <v>0</v>
      </c>
      <c r="J590">
        <v>0</v>
      </c>
      <c r="K590">
        <v>0</v>
      </c>
      <c r="L590">
        <v>4</v>
      </c>
      <c r="M590" s="48">
        <v>0</v>
      </c>
    </row>
    <row r="591" spans="1:13" x14ac:dyDescent="0.35">
      <c r="A591" t="s">
        <v>209</v>
      </c>
      <c r="B591" t="s">
        <v>36</v>
      </c>
      <c r="C591" t="s">
        <v>158</v>
      </c>
      <c r="D591" t="s">
        <v>146</v>
      </c>
      <c r="E591" t="s">
        <v>210</v>
      </c>
      <c r="F591" t="s">
        <v>199</v>
      </c>
      <c r="G591" t="s">
        <v>199</v>
      </c>
      <c r="H591">
        <v>3</v>
      </c>
      <c r="I591">
        <v>3</v>
      </c>
      <c r="J591">
        <v>0</v>
      </c>
      <c r="K591">
        <v>0</v>
      </c>
      <c r="L591">
        <v>50</v>
      </c>
      <c r="M591" s="48">
        <v>0.06</v>
      </c>
    </row>
    <row r="592" spans="1:13" x14ac:dyDescent="0.35">
      <c r="A592" t="s">
        <v>209</v>
      </c>
      <c r="B592" t="s">
        <v>36</v>
      </c>
      <c r="C592" t="s">
        <v>145</v>
      </c>
      <c r="D592" t="s">
        <v>146</v>
      </c>
      <c r="E592" t="s">
        <v>210</v>
      </c>
      <c r="F592" t="s">
        <v>199</v>
      </c>
      <c r="G592" t="s">
        <v>199</v>
      </c>
      <c r="H592">
        <v>0</v>
      </c>
      <c r="I592">
        <v>0</v>
      </c>
      <c r="J592">
        <v>0</v>
      </c>
      <c r="K592">
        <v>0</v>
      </c>
      <c r="L592">
        <v>24</v>
      </c>
      <c r="M592" s="48">
        <v>0</v>
      </c>
    </row>
    <row r="593" spans="1:13" x14ac:dyDescent="0.35">
      <c r="A593" t="s">
        <v>209</v>
      </c>
      <c r="B593" t="s">
        <v>36</v>
      </c>
      <c r="C593" t="s">
        <v>156</v>
      </c>
      <c r="D593" t="s">
        <v>146</v>
      </c>
      <c r="E593" t="s">
        <v>213</v>
      </c>
      <c r="F593" t="s">
        <v>199</v>
      </c>
      <c r="G593" t="s">
        <v>199</v>
      </c>
      <c r="H593">
        <v>2</v>
      </c>
      <c r="I593">
        <v>2</v>
      </c>
      <c r="J593">
        <v>0</v>
      </c>
      <c r="K593">
        <v>0</v>
      </c>
      <c r="L593">
        <v>10</v>
      </c>
      <c r="M593" s="48">
        <v>0.2</v>
      </c>
    </row>
    <row r="594" spans="1:13" x14ac:dyDescent="0.35">
      <c r="A594" t="s">
        <v>209</v>
      </c>
      <c r="B594" t="s">
        <v>36</v>
      </c>
      <c r="C594" t="s">
        <v>150</v>
      </c>
      <c r="D594" t="s">
        <v>146</v>
      </c>
      <c r="E594" t="s">
        <v>214</v>
      </c>
      <c r="F594" t="s">
        <v>199</v>
      </c>
      <c r="G594" t="s">
        <v>199</v>
      </c>
      <c r="H594">
        <v>0</v>
      </c>
      <c r="I594">
        <v>0</v>
      </c>
      <c r="J594">
        <v>0</v>
      </c>
      <c r="K594">
        <v>0</v>
      </c>
      <c r="L594">
        <v>3</v>
      </c>
      <c r="M594" s="48">
        <v>0</v>
      </c>
    </row>
    <row r="595" spans="1:13" x14ac:dyDescent="0.35">
      <c r="A595" t="s">
        <v>209</v>
      </c>
      <c r="B595" t="s">
        <v>36</v>
      </c>
      <c r="C595" t="s">
        <v>151</v>
      </c>
      <c r="D595" t="s">
        <v>146</v>
      </c>
      <c r="E595" t="s">
        <v>214</v>
      </c>
      <c r="F595" t="s">
        <v>199</v>
      </c>
      <c r="G595" t="s">
        <v>199</v>
      </c>
      <c r="H595">
        <v>0</v>
      </c>
      <c r="I595">
        <v>0</v>
      </c>
      <c r="J595">
        <v>0</v>
      </c>
      <c r="K595">
        <v>0</v>
      </c>
      <c r="L595">
        <v>11</v>
      </c>
      <c r="M595" s="48">
        <v>0</v>
      </c>
    </row>
    <row r="596" spans="1:13" x14ac:dyDescent="0.35">
      <c r="A596" t="s">
        <v>209</v>
      </c>
      <c r="B596" t="s">
        <v>36</v>
      </c>
      <c r="C596" t="s">
        <v>152</v>
      </c>
      <c r="D596" t="s">
        <v>146</v>
      </c>
      <c r="E596" t="s">
        <v>214</v>
      </c>
      <c r="F596" t="s">
        <v>199</v>
      </c>
      <c r="G596" t="s">
        <v>199</v>
      </c>
      <c r="H596">
        <v>10</v>
      </c>
      <c r="I596">
        <v>10</v>
      </c>
      <c r="J596">
        <v>0</v>
      </c>
      <c r="K596">
        <v>0</v>
      </c>
      <c r="L596">
        <v>90</v>
      </c>
      <c r="M596" s="48">
        <v>0.11111111111111099</v>
      </c>
    </row>
    <row r="597" spans="1:13" x14ac:dyDescent="0.35">
      <c r="A597" t="s">
        <v>209</v>
      </c>
      <c r="B597" t="s">
        <v>36</v>
      </c>
      <c r="C597" t="s">
        <v>153</v>
      </c>
      <c r="D597" t="s">
        <v>146</v>
      </c>
      <c r="E597" t="s">
        <v>214</v>
      </c>
      <c r="F597" t="s">
        <v>199</v>
      </c>
      <c r="G597" t="s">
        <v>199</v>
      </c>
      <c r="H597">
        <v>0</v>
      </c>
      <c r="I597">
        <v>0</v>
      </c>
      <c r="J597">
        <v>0</v>
      </c>
      <c r="K597">
        <v>0</v>
      </c>
      <c r="L597">
        <v>0</v>
      </c>
      <c r="M597" s="48">
        <v>0</v>
      </c>
    </row>
    <row r="598" spans="1:13" x14ac:dyDescent="0.35">
      <c r="A598" t="s">
        <v>209</v>
      </c>
      <c r="B598" t="s">
        <v>36</v>
      </c>
      <c r="C598" t="s">
        <v>154</v>
      </c>
      <c r="D598" t="s">
        <v>146</v>
      </c>
      <c r="E598" t="s">
        <v>214</v>
      </c>
      <c r="F598" t="s">
        <v>199</v>
      </c>
      <c r="G598" t="s">
        <v>199</v>
      </c>
      <c r="H598">
        <v>0</v>
      </c>
      <c r="I598">
        <v>0</v>
      </c>
      <c r="J598">
        <v>0</v>
      </c>
      <c r="K598">
        <v>0</v>
      </c>
      <c r="L598">
        <v>15</v>
      </c>
      <c r="M598" s="48">
        <v>0</v>
      </c>
    </row>
    <row r="599" spans="1:13" x14ac:dyDescent="0.35">
      <c r="A599" t="s">
        <v>209</v>
      </c>
      <c r="B599" t="s">
        <v>36</v>
      </c>
      <c r="C599" t="s">
        <v>148</v>
      </c>
      <c r="D599" t="s">
        <v>146</v>
      </c>
      <c r="E599" t="s">
        <v>214</v>
      </c>
      <c r="F599" t="s">
        <v>199</v>
      </c>
      <c r="G599" t="s">
        <v>199</v>
      </c>
      <c r="H599">
        <v>3</v>
      </c>
      <c r="I599">
        <v>3</v>
      </c>
      <c r="J599">
        <v>0</v>
      </c>
      <c r="K599">
        <v>0</v>
      </c>
      <c r="L599">
        <v>85</v>
      </c>
      <c r="M599" s="48">
        <v>3.5294117647058802E-2</v>
      </c>
    </row>
    <row r="600" spans="1:13" x14ac:dyDescent="0.35">
      <c r="A600" t="s">
        <v>209</v>
      </c>
      <c r="B600" t="s">
        <v>36</v>
      </c>
      <c r="C600" t="s">
        <v>155</v>
      </c>
      <c r="D600" t="s">
        <v>146</v>
      </c>
      <c r="E600" t="s">
        <v>214</v>
      </c>
      <c r="F600" t="s">
        <v>199</v>
      </c>
      <c r="G600" t="s">
        <v>199</v>
      </c>
      <c r="H600">
        <v>1</v>
      </c>
      <c r="I600">
        <v>1</v>
      </c>
      <c r="J600">
        <v>0</v>
      </c>
      <c r="K600">
        <v>0</v>
      </c>
      <c r="L600">
        <v>1</v>
      </c>
      <c r="M600" s="48">
        <v>1</v>
      </c>
    </row>
    <row r="601" spans="1:13" x14ac:dyDescent="0.35">
      <c r="A601" t="s">
        <v>209</v>
      </c>
      <c r="B601" t="s">
        <v>36</v>
      </c>
      <c r="C601" t="s">
        <v>156</v>
      </c>
      <c r="D601" t="s">
        <v>146</v>
      </c>
      <c r="E601" t="s">
        <v>214</v>
      </c>
      <c r="F601" t="s">
        <v>199</v>
      </c>
      <c r="G601" t="s">
        <v>199</v>
      </c>
      <c r="H601">
        <v>2</v>
      </c>
      <c r="I601">
        <v>2</v>
      </c>
      <c r="J601">
        <v>0</v>
      </c>
      <c r="K601">
        <v>0</v>
      </c>
      <c r="L601">
        <v>8</v>
      </c>
      <c r="M601" s="48">
        <v>0.25</v>
      </c>
    </row>
    <row r="602" spans="1:13" x14ac:dyDescent="0.35">
      <c r="A602" t="s">
        <v>209</v>
      </c>
      <c r="B602" t="s">
        <v>36</v>
      </c>
      <c r="C602" t="s">
        <v>157</v>
      </c>
      <c r="D602" t="s">
        <v>146</v>
      </c>
      <c r="E602" t="s">
        <v>214</v>
      </c>
      <c r="F602" t="s">
        <v>199</v>
      </c>
      <c r="G602" t="s">
        <v>199</v>
      </c>
      <c r="H602">
        <v>0</v>
      </c>
      <c r="I602">
        <v>0</v>
      </c>
      <c r="J602">
        <v>0</v>
      </c>
      <c r="K602">
        <v>0</v>
      </c>
      <c r="L602">
        <v>3</v>
      </c>
      <c r="M602" s="48">
        <v>0</v>
      </c>
    </row>
    <row r="603" spans="1:13" x14ac:dyDescent="0.35">
      <c r="A603" t="s">
        <v>209</v>
      </c>
      <c r="B603" t="s">
        <v>36</v>
      </c>
      <c r="C603" t="s">
        <v>158</v>
      </c>
      <c r="D603" t="s">
        <v>146</v>
      </c>
      <c r="E603" t="s">
        <v>214</v>
      </c>
      <c r="F603" t="s">
        <v>199</v>
      </c>
      <c r="G603" t="s">
        <v>199</v>
      </c>
      <c r="H603">
        <v>1</v>
      </c>
      <c r="I603">
        <v>1</v>
      </c>
      <c r="J603">
        <v>0</v>
      </c>
      <c r="K603">
        <v>0</v>
      </c>
      <c r="L603">
        <v>33</v>
      </c>
      <c r="M603" s="48">
        <v>3.03030303030303E-2</v>
      </c>
    </row>
    <row r="604" spans="1:13" x14ac:dyDescent="0.35">
      <c r="A604" t="s">
        <v>209</v>
      </c>
      <c r="B604" t="s">
        <v>36</v>
      </c>
      <c r="C604" t="s">
        <v>156</v>
      </c>
      <c r="D604" t="s">
        <v>146</v>
      </c>
      <c r="E604" t="s">
        <v>216</v>
      </c>
      <c r="F604" t="s">
        <v>199</v>
      </c>
      <c r="G604" t="s">
        <v>199</v>
      </c>
      <c r="H604">
        <v>2</v>
      </c>
      <c r="I604">
        <v>2</v>
      </c>
      <c r="J604">
        <v>0</v>
      </c>
      <c r="K604">
        <v>0</v>
      </c>
      <c r="L604">
        <v>13</v>
      </c>
      <c r="M604" s="48">
        <v>0.15384615384615399</v>
      </c>
    </row>
    <row r="605" spans="1:13" x14ac:dyDescent="0.35">
      <c r="A605" t="s">
        <v>209</v>
      </c>
      <c r="B605" t="s">
        <v>36</v>
      </c>
      <c r="C605" t="s">
        <v>150</v>
      </c>
      <c r="D605" t="s">
        <v>146</v>
      </c>
      <c r="E605" t="s">
        <v>217</v>
      </c>
      <c r="F605" t="s">
        <v>199</v>
      </c>
      <c r="G605" t="s">
        <v>199</v>
      </c>
      <c r="H605">
        <v>5</v>
      </c>
      <c r="I605">
        <v>4</v>
      </c>
      <c r="J605">
        <v>0</v>
      </c>
      <c r="K605">
        <v>6</v>
      </c>
      <c r="L605">
        <v>6</v>
      </c>
      <c r="M605" s="48">
        <v>0.83333333333333304</v>
      </c>
    </row>
    <row r="606" spans="1:13" x14ac:dyDescent="0.35">
      <c r="A606" t="s">
        <v>209</v>
      </c>
      <c r="B606" t="s">
        <v>36</v>
      </c>
      <c r="C606" t="s">
        <v>151</v>
      </c>
      <c r="D606" t="s">
        <v>146</v>
      </c>
      <c r="E606" t="s">
        <v>217</v>
      </c>
      <c r="F606" t="s">
        <v>199</v>
      </c>
      <c r="G606" t="s">
        <v>199</v>
      </c>
      <c r="H606">
        <v>1</v>
      </c>
      <c r="I606">
        <v>1</v>
      </c>
      <c r="J606">
        <v>0</v>
      </c>
      <c r="K606">
        <v>13</v>
      </c>
      <c r="L606">
        <v>13</v>
      </c>
      <c r="M606" s="48">
        <v>7.69230769230769E-2</v>
      </c>
    </row>
    <row r="607" spans="1:13" x14ac:dyDescent="0.35">
      <c r="A607" t="s">
        <v>209</v>
      </c>
      <c r="B607" t="s">
        <v>36</v>
      </c>
      <c r="C607" t="s">
        <v>152</v>
      </c>
      <c r="D607" t="s">
        <v>146</v>
      </c>
      <c r="E607" t="s">
        <v>217</v>
      </c>
      <c r="F607" t="s">
        <v>199</v>
      </c>
      <c r="G607" t="s">
        <v>199</v>
      </c>
      <c r="H607">
        <v>10</v>
      </c>
      <c r="I607">
        <v>10</v>
      </c>
      <c r="J607">
        <v>0</v>
      </c>
      <c r="K607">
        <v>130</v>
      </c>
      <c r="L607">
        <v>118</v>
      </c>
      <c r="M607" s="48">
        <v>8.4745762711864403E-2</v>
      </c>
    </row>
    <row r="608" spans="1:13" x14ac:dyDescent="0.35">
      <c r="A608" t="s">
        <v>209</v>
      </c>
      <c r="B608" t="s">
        <v>36</v>
      </c>
      <c r="C608" t="s">
        <v>153</v>
      </c>
      <c r="D608" t="s">
        <v>146</v>
      </c>
      <c r="E608" t="s">
        <v>217</v>
      </c>
      <c r="F608" t="s">
        <v>199</v>
      </c>
      <c r="G608" t="s">
        <v>199</v>
      </c>
      <c r="H608">
        <v>1</v>
      </c>
      <c r="I608">
        <v>1</v>
      </c>
      <c r="J608">
        <v>0</v>
      </c>
      <c r="K608">
        <v>5</v>
      </c>
      <c r="L608">
        <v>5</v>
      </c>
      <c r="M608" s="48">
        <v>0.2</v>
      </c>
    </row>
    <row r="609" spans="1:13" x14ac:dyDescent="0.35">
      <c r="A609" t="s">
        <v>209</v>
      </c>
      <c r="B609" t="s">
        <v>36</v>
      </c>
      <c r="C609" t="s">
        <v>154</v>
      </c>
      <c r="D609" t="s">
        <v>146</v>
      </c>
      <c r="E609" t="s">
        <v>217</v>
      </c>
      <c r="F609" t="s">
        <v>199</v>
      </c>
      <c r="G609" t="s">
        <v>199</v>
      </c>
      <c r="H609">
        <v>1</v>
      </c>
      <c r="I609">
        <v>1</v>
      </c>
      <c r="J609">
        <v>0</v>
      </c>
      <c r="K609">
        <v>19</v>
      </c>
      <c r="L609">
        <v>18</v>
      </c>
      <c r="M609" s="48">
        <v>5.5555555555555601E-2</v>
      </c>
    </row>
    <row r="610" spans="1:13" x14ac:dyDescent="0.35">
      <c r="A610" t="s">
        <v>209</v>
      </c>
      <c r="B610" t="s">
        <v>36</v>
      </c>
      <c r="C610" t="s">
        <v>148</v>
      </c>
      <c r="D610" t="s">
        <v>146</v>
      </c>
      <c r="E610" t="s">
        <v>217</v>
      </c>
      <c r="F610" t="s">
        <v>199</v>
      </c>
      <c r="G610" t="s">
        <v>199</v>
      </c>
      <c r="H610">
        <v>12</v>
      </c>
      <c r="I610">
        <v>12</v>
      </c>
      <c r="J610">
        <v>0</v>
      </c>
      <c r="K610">
        <v>150</v>
      </c>
      <c r="L610">
        <v>140</v>
      </c>
      <c r="M610" s="48">
        <v>8.5714285714285701E-2</v>
      </c>
    </row>
    <row r="611" spans="1:13" x14ac:dyDescent="0.35">
      <c r="A611" t="s">
        <v>209</v>
      </c>
      <c r="B611" t="s">
        <v>36</v>
      </c>
      <c r="C611" t="s">
        <v>155</v>
      </c>
      <c r="D611" t="s">
        <v>146</v>
      </c>
      <c r="E611" t="s">
        <v>217</v>
      </c>
      <c r="F611" t="s">
        <v>199</v>
      </c>
      <c r="G611" t="s">
        <v>199</v>
      </c>
      <c r="H611">
        <v>2</v>
      </c>
      <c r="I611">
        <v>2</v>
      </c>
      <c r="J611">
        <v>0</v>
      </c>
      <c r="K611">
        <v>5</v>
      </c>
      <c r="L611">
        <v>5</v>
      </c>
      <c r="M611" s="48">
        <v>0.4</v>
      </c>
    </row>
    <row r="612" spans="1:13" x14ac:dyDescent="0.35">
      <c r="A612" t="s">
        <v>209</v>
      </c>
      <c r="B612" t="s">
        <v>36</v>
      </c>
      <c r="C612" t="s">
        <v>157</v>
      </c>
      <c r="D612" t="s">
        <v>146</v>
      </c>
      <c r="E612" t="s">
        <v>217</v>
      </c>
      <c r="F612" t="s">
        <v>199</v>
      </c>
      <c r="G612" t="s">
        <v>199</v>
      </c>
      <c r="H612">
        <v>2</v>
      </c>
      <c r="I612">
        <v>2</v>
      </c>
      <c r="J612">
        <v>0</v>
      </c>
      <c r="K612">
        <v>11</v>
      </c>
      <c r="L612">
        <v>11</v>
      </c>
      <c r="M612" s="48">
        <v>0.18181818181818199</v>
      </c>
    </row>
    <row r="613" spans="1:13" x14ac:dyDescent="0.35">
      <c r="A613" t="s">
        <v>209</v>
      </c>
      <c r="B613" t="s">
        <v>36</v>
      </c>
      <c r="C613" t="s">
        <v>158</v>
      </c>
      <c r="D613" t="s">
        <v>146</v>
      </c>
      <c r="E613" t="s">
        <v>217</v>
      </c>
      <c r="F613" t="s">
        <v>199</v>
      </c>
      <c r="G613" t="s">
        <v>199</v>
      </c>
      <c r="H613">
        <v>6</v>
      </c>
      <c r="I613">
        <v>6</v>
      </c>
      <c r="J613">
        <v>0</v>
      </c>
      <c r="K613">
        <v>52</v>
      </c>
      <c r="L613">
        <v>51</v>
      </c>
      <c r="M613" s="48">
        <v>0.11764705882352899</v>
      </c>
    </row>
    <row r="614" spans="1:13" x14ac:dyDescent="0.35">
      <c r="A614" t="s">
        <v>209</v>
      </c>
      <c r="B614" t="s">
        <v>36</v>
      </c>
      <c r="C614" t="s">
        <v>156</v>
      </c>
      <c r="D614" t="s">
        <v>146</v>
      </c>
      <c r="E614" t="s">
        <v>217</v>
      </c>
      <c r="F614" t="s">
        <v>199</v>
      </c>
      <c r="G614" t="s">
        <v>199</v>
      </c>
      <c r="H614">
        <v>2</v>
      </c>
      <c r="I614">
        <v>2</v>
      </c>
      <c r="J614">
        <v>0</v>
      </c>
      <c r="K614">
        <v>12</v>
      </c>
      <c r="L614">
        <v>12</v>
      </c>
      <c r="M614" s="48">
        <v>0.16666666666666699</v>
      </c>
    </row>
    <row r="615" spans="1:13" x14ac:dyDescent="0.35">
      <c r="A615" t="s">
        <v>209</v>
      </c>
      <c r="B615" t="s">
        <v>36</v>
      </c>
      <c r="C615" t="s">
        <v>145</v>
      </c>
      <c r="D615" t="s">
        <v>162</v>
      </c>
      <c r="E615" t="s">
        <v>218</v>
      </c>
      <c r="F615" t="s">
        <v>199</v>
      </c>
      <c r="G615" t="s">
        <v>199</v>
      </c>
      <c r="H615">
        <v>5</v>
      </c>
      <c r="I615">
        <v>4</v>
      </c>
      <c r="J615">
        <v>0</v>
      </c>
      <c r="K615">
        <v>36</v>
      </c>
      <c r="L615">
        <v>31</v>
      </c>
      <c r="M615" s="48">
        <v>0.16129032258064499</v>
      </c>
    </row>
    <row r="616" spans="1:13" x14ac:dyDescent="0.35">
      <c r="A616" t="s">
        <v>209</v>
      </c>
      <c r="B616" t="s">
        <v>36</v>
      </c>
      <c r="C616" t="s">
        <v>150</v>
      </c>
      <c r="D616" t="s">
        <v>146</v>
      </c>
      <c r="E616" t="s">
        <v>219</v>
      </c>
      <c r="F616" t="s">
        <v>199</v>
      </c>
      <c r="G616" t="s">
        <v>199</v>
      </c>
      <c r="H616">
        <v>2</v>
      </c>
      <c r="I616">
        <v>2</v>
      </c>
      <c r="J616">
        <v>0</v>
      </c>
      <c r="K616">
        <v>9</v>
      </c>
      <c r="L616">
        <v>8</v>
      </c>
      <c r="M616" s="48">
        <v>0.25</v>
      </c>
    </row>
    <row r="617" spans="1:13" x14ac:dyDescent="0.35">
      <c r="A617" t="s">
        <v>209</v>
      </c>
      <c r="B617" t="s">
        <v>36</v>
      </c>
      <c r="C617" t="s">
        <v>151</v>
      </c>
      <c r="D617" t="s">
        <v>146</v>
      </c>
      <c r="E617" t="s">
        <v>219</v>
      </c>
      <c r="F617" t="s">
        <v>199</v>
      </c>
      <c r="G617" t="s">
        <v>199</v>
      </c>
      <c r="H617">
        <v>0</v>
      </c>
      <c r="I617">
        <v>0</v>
      </c>
      <c r="J617">
        <v>0</v>
      </c>
      <c r="K617">
        <v>19</v>
      </c>
      <c r="L617">
        <v>17</v>
      </c>
      <c r="M617" s="48">
        <v>0</v>
      </c>
    </row>
    <row r="618" spans="1:13" x14ac:dyDescent="0.35">
      <c r="A618" t="s">
        <v>209</v>
      </c>
      <c r="B618" t="s">
        <v>36</v>
      </c>
      <c r="C618" t="s">
        <v>152</v>
      </c>
      <c r="D618" t="s">
        <v>146</v>
      </c>
      <c r="E618" t="s">
        <v>219</v>
      </c>
      <c r="F618" t="s">
        <v>199</v>
      </c>
      <c r="G618" t="s">
        <v>199</v>
      </c>
      <c r="H618">
        <v>10</v>
      </c>
      <c r="I618">
        <v>10</v>
      </c>
      <c r="J618">
        <v>0</v>
      </c>
      <c r="K618">
        <v>149</v>
      </c>
      <c r="L618">
        <v>137</v>
      </c>
      <c r="M618" s="48">
        <v>7.2992700729927001E-2</v>
      </c>
    </row>
    <row r="619" spans="1:13" x14ac:dyDescent="0.35">
      <c r="A619" t="s">
        <v>209</v>
      </c>
      <c r="B619" t="s">
        <v>36</v>
      </c>
      <c r="C619" t="s">
        <v>153</v>
      </c>
      <c r="D619" t="s">
        <v>146</v>
      </c>
      <c r="E619" t="s">
        <v>219</v>
      </c>
      <c r="F619" t="s">
        <v>199</v>
      </c>
      <c r="G619" t="s">
        <v>199</v>
      </c>
      <c r="H619">
        <v>0</v>
      </c>
      <c r="I619">
        <v>0</v>
      </c>
      <c r="J619">
        <v>0</v>
      </c>
      <c r="K619">
        <v>8</v>
      </c>
      <c r="L619">
        <v>8</v>
      </c>
      <c r="M619" s="48">
        <v>0</v>
      </c>
    </row>
    <row r="620" spans="1:13" x14ac:dyDescent="0.35">
      <c r="A620" t="s">
        <v>209</v>
      </c>
      <c r="B620" t="s">
        <v>36</v>
      </c>
      <c r="C620" t="s">
        <v>154</v>
      </c>
      <c r="D620" t="s">
        <v>146</v>
      </c>
      <c r="E620" t="s">
        <v>219</v>
      </c>
      <c r="F620" t="s">
        <v>199</v>
      </c>
      <c r="G620" t="s">
        <v>199</v>
      </c>
      <c r="H620">
        <v>0</v>
      </c>
      <c r="I620">
        <v>0</v>
      </c>
      <c r="J620">
        <v>0</v>
      </c>
      <c r="K620">
        <v>15</v>
      </c>
      <c r="L620">
        <v>15</v>
      </c>
      <c r="M620" s="48">
        <v>0</v>
      </c>
    </row>
    <row r="621" spans="1:13" x14ac:dyDescent="0.35">
      <c r="A621" t="s">
        <v>209</v>
      </c>
      <c r="B621" t="s">
        <v>36</v>
      </c>
      <c r="C621" t="s">
        <v>148</v>
      </c>
      <c r="D621" t="s">
        <v>146</v>
      </c>
      <c r="E621" t="s">
        <v>219</v>
      </c>
      <c r="F621" t="s">
        <v>199</v>
      </c>
      <c r="G621" t="s">
        <v>199</v>
      </c>
      <c r="H621">
        <v>14</v>
      </c>
      <c r="I621">
        <v>14</v>
      </c>
      <c r="J621">
        <v>0</v>
      </c>
      <c r="K621">
        <v>174</v>
      </c>
      <c r="L621">
        <v>153</v>
      </c>
      <c r="M621" s="48">
        <v>9.1503267973856203E-2</v>
      </c>
    </row>
    <row r="622" spans="1:13" x14ac:dyDescent="0.35">
      <c r="A622" t="s">
        <v>209</v>
      </c>
      <c r="B622" t="s">
        <v>36</v>
      </c>
      <c r="C622" t="s">
        <v>155</v>
      </c>
      <c r="D622" t="s">
        <v>146</v>
      </c>
      <c r="E622" t="s">
        <v>219</v>
      </c>
      <c r="F622" t="s">
        <v>199</v>
      </c>
      <c r="G622" t="s">
        <v>199</v>
      </c>
      <c r="H622">
        <v>1</v>
      </c>
      <c r="I622">
        <v>1</v>
      </c>
      <c r="J622">
        <v>0</v>
      </c>
      <c r="K622">
        <v>6</v>
      </c>
      <c r="L622">
        <v>6</v>
      </c>
      <c r="M622" s="48">
        <v>0.16666666666666699</v>
      </c>
    </row>
    <row r="623" spans="1:13" x14ac:dyDescent="0.35">
      <c r="A623" t="s">
        <v>209</v>
      </c>
      <c r="B623" t="s">
        <v>36</v>
      </c>
      <c r="C623" t="s">
        <v>157</v>
      </c>
      <c r="D623" t="s">
        <v>146</v>
      </c>
      <c r="E623" t="s">
        <v>219</v>
      </c>
      <c r="F623" t="s">
        <v>199</v>
      </c>
      <c r="G623" t="s">
        <v>199</v>
      </c>
      <c r="H623">
        <v>0</v>
      </c>
      <c r="I623">
        <v>0</v>
      </c>
      <c r="J623">
        <v>0</v>
      </c>
      <c r="K623">
        <v>11</v>
      </c>
      <c r="L623">
        <v>10</v>
      </c>
      <c r="M623" s="48">
        <v>0</v>
      </c>
    </row>
    <row r="624" spans="1:13" x14ac:dyDescent="0.35">
      <c r="A624" t="s">
        <v>209</v>
      </c>
      <c r="B624" t="s">
        <v>36</v>
      </c>
      <c r="C624" t="s">
        <v>158</v>
      </c>
      <c r="D624" t="s">
        <v>146</v>
      </c>
      <c r="E624" t="s">
        <v>219</v>
      </c>
      <c r="F624" t="s">
        <v>199</v>
      </c>
      <c r="G624" t="s">
        <v>199</v>
      </c>
      <c r="H624">
        <v>3</v>
      </c>
      <c r="I624">
        <v>3</v>
      </c>
      <c r="J624">
        <v>0</v>
      </c>
      <c r="K624">
        <v>38</v>
      </c>
      <c r="L624">
        <v>37</v>
      </c>
      <c r="M624" s="48">
        <v>8.1081081081081099E-2</v>
      </c>
    </row>
    <row r="625" spans="1:13" x14ac:dyDescent="0.35">
      <c r="A625" t="s">
        <v>209</v>
      </c>
      <c r="B625" t="s">
        <v>36</v>
      </c>
      <c r="C625" t="s">
        <v>154</v>
      </c>
      <c r="D625" t="s">
        <v>146</v>
      </c>
      <c r="E625" t="s">
        <v>219</v>
      </c>
      <c r="F625" t="s">
        <v>199</v>
      </c>
      <c r="G625" t="s">
        <v>199</v>
      </c>
      <c r="H625">
        <v>0</v>
      </c>
      <c r="I625">
        <v>0</v>
      </c>
      <c r="J625">
        <v>0</v>
      </c>
      <c r="K625">
        <v>14</v>
      </c>
      <c r="L625">
        <v>14</v>
      </c>
      <c r="M625" s="48">
        <v>0</v>
      </c>
    </row>
    <row r="626" spans="1:13" x14ac:dyDescent="0.35">
      <c r="A626" t="s">
        <v>209</v>
      </c>
      <c r="B626" t="s">
        <v>36</v>
      </c>
      <c r="C626" t="s">
        <v>158</v>
      </c>
      <c r="D626" t="s">
        <v>146</v>
      </c>
      <c r="E626" t="s">
        <v>219</v>
      </c>
      <c r="F626" t="s">
        <v>199</v>
      </c>
      <c r="G626" t="s">
        <v>199</v>
      </c>
      <c r="H626">
        <v>3</v>
      </c>
      <c r="I626">
        <v>3</v>
      </c>
      <c r="J626">
        <v>0</v>
      </c>
      <c r="K626">
        <v>44</v>
      </c>
      <c r="L626">
        <v>41</v>
      </c>
      <c r="M626" s="48">
        <v>7.3170731707317097E-2</v>
      </c>
    </row>
    <row r="627" spans="1:13" x14ac:dyDescent="0.35">
      <c r="A627" t="s">
        <v>209</v>
      </c>
      <c r="B627" t="s">
        <v>36</v>
      </c>
      <c r="C627" t="s">
        <v>151</v>
      </c>
      <c r="D627" t="s">
        <v>146</v>
      </c>
      <c r="E627" t="s">
        <v>220</v>
      </c>
      <c r="F627" t="s">
        <v>199</v>
      </c>
      <c r="G627" t="s">
        <v>199</v>
      </c>
      <c r="H627">
        <v>0</v>
      </c>
      <c r="I627">
        <v>0</v>
      </c>
      <c r="J627">
        <v>0</v>
      </c>
      <c r="K627">
        <v>14</v>
      </c>
      <c r="L627">
        <v>14</v>
      </c>
      <c r="M627" s="48">
        <v>0</v>
      </c>
    </row>
    <row r="628" spans="1:13" x14ac:dyDescent="0.35">
      <c r="A628" t="s">
        <v>209</v>
      </c>
      <c r="B628" t="s">
        <v>36</v>
      </c>
      <c r="C628" t="s">
        <v>155</v>
      </c>
      <c r="D628" t="s">
        <v>146</v>
      </c>
      <c r="E628" t="s">
        <v>220</v>
      </c>
      <c r="F628" t="s">
        <v>199</v>
      </c>
      <c r="G628" t="s">
        <v>199</v>
      </c>
      <c r="H628">
        <v>0</v>
      </c>
      <c r="I628">
        <v>0</v>
      </c>
      <c r="J628">
        <v>0</v>
      </c>
      <c r="K628">
        <v>6</v>
      </c>
      <c r="L628">
        <v>6</v>
      </c>
      <c r="M628" s="48">
        <v>0</v>
      </c>
    </row>
    <row r="629" spans="1:13" x14ac:dyDescent="0.35">
      <c r="A629" t="s">
        <v>209</v>
      </c>
      <c r="B629" t="s">
        <v>36</v>
      </c>
      <c r="C629" t="s">
        <v>156</v>
      </c>
      <c r="D629" t="s">
        <v>146</v>
      </c>
      <c r="E629" t="s">
        <v>220</v>
      </c>
      <c r="F629" t="s">
        <v>199</v>
      </c>
      <c r="G629" t="s">
        <v>199</v>
      </c>
      <c r="H629">
        <v>1</v>
      </c>
      <c r="I629">
        <v>1</v>
      </c>
      <c r="J629">
        <v>0</v>
      </c>
      <c r="K629">
        <v>11</v>
      </c>
      <c r="L629">
        <v>10</v>
      </c>
      <c r="M629" s="48">
        <v>0.1</v>
      </c>
    </row>
    <row r="630" spans="1:13" x14ac:dyDescent="0.35">
      <c r="A630" t="s">
        <v>209</v>
      </c>
      <c r="B630" t="s">
        <v>36</v>
      </c>
      <c r="C630" t="s">
        <v>153</v>
      </c>
      <c r="D630" t="s">
        <v>146</v>
      </c>
      <c r="E630" t="s">
        <v>220</v>
      </c>
      <c r="F630" t="s">
        <v>199</v>
      </c>
      <c r="G630" t="s">
        <v>199</v>
      </c>
      <c r="H630">
        <v>0</v>
      </c>
      <c r="I630">
        <v>0</v>
      </c>
      <c r="J630">
        <v>0</v>
      </c>
      <c r="K630">
        <v>3</v>
      </c>
      <c r="L630">
        <v>3</v>
      </c>
      <c r="M630" s="48">
        <v>0</v>
      </c>
    </row>
    <row r="631" spans="1:13" x14ac:dyDescent="0.35">
      <c r="A631" t="s">
        <v>209</v>
      </c>
      <c r="B631" t="s">
        <v>36</v>
      </c>
      <c r="C631" t="s">
        <v>154</v>
      </c>
      <c r="D631" t="s">
        <v>146</v>
      </c>
      <c r="E631" t="s">
        <v>220</v>
      </c>
      <c r="F631" t="s">
        <v>199</v>
      </c>
      <c r="G631" t="s">
        <v>199</v>
      </c>
      <c r="H631">
        <v>0</v>
      </c>
      <c r="I631">
        <v>0</v>
      </c>
      <c r="J631">
        <v>0</v>
      </c>
      <c r="K631">
        <v>15</v>
      </c>
      <c r="L631">
        <v>12</v>
      </c>
      <c r="M631" s="48">
        <v>0</v>
      </c>
    </row>
    <row r="632" spans="1:13" x14ac:dyDescent="0.35">
      <c r="A632" t="s">
        <v>209</v>
      </c>
      <c r="B632" t="s">
        <v>36</v>
      </c>
      <c r="C632" t="s">
        <v>152</v>
      </c>
      <c r="D632" t="s">
        <v>146</v>
      </c>
      <c r="E632" t="s">
        <v>220</v>
      </c>
      <c r="F632" t="s">
        <v>199</v>
      </c>
      <c r="G632" t="s">
        <v>199</v>
      </c>
      <c r="H632">
        <v>8</v>
      </c>
      <c r="I632">
        <v>8</v>
      </c>
      <c r="J632">
        <v>0</v>
      </c>
      <c r="K632">
        <v>144</v>
      </c>
      <c r="L632">
        <v>125</v>
      </c>
      <c r="M632" s="48">
        <v>6.4000000000000001E-2</v>
      </c>
    </row>
    <row r="633" spans="1:13" x14ac:dyDescent="0.35">
      <c r="A633" t="s">
        <v>209</v>
      </c>
      <c r="B633" t="s">
        <v>36</v>
      </c>
      <c r="C633" t="s">
        <v>148</v>
      </c>
      <c r="D633" t="s">
        <v>146</v>
      </c>
      <c r="E633" t="s">
        <v>220</v>
      </c>
      <c r="F633" t="s">
        <v>199</v>
      </c>
      <c r="G633" t="s">
        <v>199</v>
      </c>
      <c r="H633">
        <v>14</v>
      </c>
      <c r="I633">
        <v>13</v>
      </c>
      <c r="J633">
        <v>0</v>
      </c>
      <c r="K633">
        <v>201</v>
      </c>
      <c r="L633">
        <v>191</v>
      </c>
      <c r="M633" s="48">
        <v>7.3298429319371694E-2</v>
      </c>
    </row>
    <row r="634" spans="1:13" x14ac:dyDescent="0.35">
      <c r="A634" t="s">
        <v>209</v>
      </c>
      <c r="B634" t="s">
        <v>36</v>
      </c>
      <c r="C634" t="s">
        <v>158</v>
      </c>
      <c r="D634" t="s">
        <v>146</v>
      </c>
      <c r="E634" t="s">
        <v>220</v>
      </c>
      <c r="F634" t="s">
        <v>199</v>
      </c>
      <c r="G634" t="s">
        <v>199</v>
      </c>
      <c r="H634">
        <v>1</v>
      </c>
      <c r="I634">
        <v>1</v>
      </c>
      <c r="J634">
        <v>0</v>
      </c>
      <c r="K634">
        <v>24</v>
      </c>
      <c r="L634">
        <v>24</v>
      </c>
      <c r="M634" s="48">
        <v>4.1666666666666699E-2</v>
      </c>
    </row>
    <row r="635" spans="1:13" x14ac:dyDescent="0.35">
      <c r="A635" t="s">
        <v>209</v>
      </c>
      <c r="B635" t="s">
        <v>36</v>
      </c>
      <c r="C635" t="s">
        <v>157</v>
      </c>
      <c r="D635" t="s">
        <v>146</v>
      </c>
      <c r="E635" t="s">
        <v>220</v>
      </c>
      <c r="F635" t="s">
        <v>199</v>
      </c>
      <c r="G635" t="s">
        <v>199</v>
      </c>
      <c r="H635">
        <v>0</v>
      </c>
      <c r="I635">
        <v>0</v>
      </c>
      <c r="J635">
        <v>0</v>
      </c>
      <c r="K635">
        <v>6</v>
      </c>
      <c r="L635">
        <v>6</v>
      </c>
      <c r="M635" s="48">
        <v>0</v>
      </c>
    </row>
    <row r="636" spans="1:13" x14ac:dyDescent="0.35">
      <c r="A636" t="s">
        <v>209</v>
      </c>
      <c r="B636" t="s">
        <v>36</v>
      </c>
      <c r="C636" t="s">
        <v>150</v>
      </c>
      <c r="D636" t="s">
        <v>146</v>
      </c>
      <c r="E636" t="s">
        <v>220</v>
      </c>
      <c r="F636" t="s">
        <v>199</v>
      </c>
      <c r="G636" t="s">
        <v>199</v>
      </c>
      <c r="H636">
        <v>0</v>
      </c>
      <c r="I636">
        <v>0</v>
      </c>
      <c r="J636">
        <v>0</v>
      </c>
      <c r="K636">
        <v>6</v>
      </c>
      <c r="L636">
        <v>6</v>
      </c>
      <c r="M636" s="48">
        <v>0</v>
      </c>
    </row>
    <row r="637" spans="1:13" x14ac:dyDescent="0.35">
      <c r="A637" t="s">
        <v>209</v>
      </c>
      <c r="B637" t="s">
        <v>36</v>
      </c>
      <c r="C637" t="s">
        <v>150</v>
      </c>
      <c r="D637" t="s">
        <v>146</v>
      </c>
      <c r="E637" t="s">
        <v>221</v>
      </c>
      <c r="F637" t="s">
        <v>199</v>
      </c>
      <c r="G637" t="s">
        <v>199</v>
      </c>
      <c r="H637">
        <v>0</v>
      </c>
      <c r="I637">
        <v>0</v>
      </c>
      <c r="J637">
        <v>0</v>
      </c>
      <c r="K637">
        <v>1</v>
      </c>
      <c r="L637">
        <v>1</v>
      </c>
      <c r="M637" s="48">
        <v>0</v>
      </c>
    </row>
    <row r="638" spans="1:13" x14ac:dyDescent="0.35">
      <c r="A638" t="s">
        <v>209</v>
      </c>
      <c r="B638" t="s">
        <v>36</v>
      </c>
      <c r="C638" t="s">
        <v>151</v>
      </c>
      <c r="D638" t="s">
        <v>146</v>
      </c>
      <c r="E638" t="s">
        <v>221</v>
      </c>
      <c r="F638" t="s">
        <v>199</v>
      </c>
      <c r="G638" t="s">
        <v>199</v>
      </c>
      <c r="H638">
        <v>0</v>
      </c>
      <c r="I638">
        <v>0</v>
      </c>
      <c r="J638">
        <v>0</v>
      </c>
      <c r="K638">
        <v>12</v>
      </c>
      <c r="L638">
        <v>12</v>
      </c>
      <c r="M638" s="48">
        <v>0</v>
      </c>
    </row>
    <row r="639" spans="1:13" x14ac:dyDescent="0.35">
      <c r="A639" t="s">
        <v>209</v>
      </c>
      <c r="B639" t="s">
        <v>36</v>
      </c>
      <c r="C639" t="s">
        <v>152</v>
      </c>
      <c r="D639" t="s">
        <v>146</v>
      </c>
      <c r="E639" t="s">
        <v>221</v>
      </c>
      <c r="F639" t="s">
        <v>199</v>
      </c>
      <c r="G639" t="s">
        <v>199</v>
      </c>
      <c r="H639">
        <v>8</v>
      </c>
      <c r="I639">
        <v>8</v>
      </c>
      <c r="J639">
        <v>0</v>
      </c>
      <c r="K639">
        <v>163</v>
      </c>
      <c r="L639">
        <v>145</v>
      </c>
      <c r="M639" s="48">
        <v>5.5172413793103399E-2</v>
      </c>
    </row>
    <row r="640" spans="1:13" x14ac:dyDescent="0.35">
      <c r="A640" t="s">
        <v>209</v>
      </c>
      <c r="B640" t="s">
        <v>36</v>
      </c>
      <c r="C640" t="s">
        <v>153</v>
      </c>
      <c r="D640" t="s">
        <v>146</v>
      </c>
      <c r="E640" t="s">
        <v>221</v>
      </c>
      <c r="F640" t="s">
        <v>199</v>
      </c>
      <c r="G640" t="s">
        <v>199</v>
      </c>
      <c r="H640">
        <v>0</v>
      </c>
      <c r="I640">
        <v>0</v>
      </c>
      <c r="J640">
        <v>0</v>
      </c>
      <c r="K640">
        <v>2</v>
      </c>
      <c r="L640">
        <v>2</v>
      </c>
      <c r="M640" s="48">
        <v>0</v>
      </c>
    </row>
    <row r="641" spans="1:13" x14ac:dyDescent="0.35">
      <c r="A641" t="s">
        <v>209</v>
      </c>
      <c r="B641" t="s">
        <v>36</v>
      </c>
      <c r="C641" t="s">
        <v>154</v>
      </c>
      <c r="D641" t="s">
        <v>146</v>
      </c>
      <c r="E641" t="s">
        <v>221</v>
      </c>
      <c r="F641" t="s">
        <v>199</v>
      </c>
      <c r="G641" t="s">
        <v>199</v>
      </c>
      <c r="H641">
        <v>0</v>
      </c>
      <c r="I641">
        <v>0</v>
      </c>
      <c r="J641">
        <v>0</v>
      </c>
      <c r="K641">
        <v>15</v>
      </c>
      <c r="L641">
        <v>13</v>
      </c>
      <c r="M641" s="48">
        <v>0</v>
      </c>
    </row>
    <row r="642" spans="1:13" x14ac:dyDescent="0.35">
      <c r="A642" t="s">
        <v>209</v>
      </c>
      <c r="B642" t="s">
        <v>36</v>
      </c>
      <c r="C642" t="s">
        <v>148</v>
      </c>
      <c r="D642" t="s">
        <v>146</v>
      </c>
      <c r="E642" t="s">
        <v>221</v>
      </c>
      <c r="F642" t="s">
        <v>199</v>
      </c>
      <c r="G642" t="s">
        <v>199</v>
      </c>
      <c r="H642">
        <v>11</v>
      </c>
      <c r="I642">
        <v>11</v>
      </c>
      <c r="J642">
        <v>0</v>
      </c>
      <c r="K642">
        <v>180</v>
      </c>
      <c r="L642">
        <v>172</v>
      </c>
      <c r="M642" s="48">
        <v>6.3953488372092998E-2</v>
      </c>
    </row>
    <row r="643" spans="1:13" x14ac:dyDescent="0.35">
      <c r="A643" t="s">
        <v>209</v>
      </c>
      <c r="B643" t="s">
        <v>36</v>
      </c>
      <c r="C643" t="s">
        <v>155</v>
      </c>
      <c r="D643" t="s">
        <v>146</v>
      </c>
      <c r="E643" t="s">
        <v>221</v>
      </c>
      <c r="F643" t="s">
        <v>199</v>
      </c>
      <c r="G643" t="s">
        <v>199</v>
      </c>
      <c r="H643">
        <v>0</v>
      </c>
      <c r="I643">
        <v>0</v>
      </c>
      <c r="J643">
        <v>0</v>
      </c>
      <c r="K643">
        <v>5</v>
      </c>
      <c r="L643">
        <v>4</v>
      </c>
      <c r="M643" s="48">
        <v>0</v>
      </c>
    </row>
    <row r="644" spans="1:13" x14ac:dyDescent="0.35">
      <c r="A644" t="s">
        <v>209</v>
      </c>
      <c r="B644" t="s">
        <v>36</v>
      </c>
      <c r="C644" t="s">
        <v>156</v>
      </c>
      <c r="D644" t="s">
        <v>146</v>
      </c>
      <c r="E644" t="s">
        <v>221</v>
      </c>
      <c r="F644" t="s">
        <v>199</v>
      </c>
      <c r="G644" t="s">
        <v>199</v>
      </c>
      <c r="H644">
        <v>1</v>
      </c>
      <c r="I644">
        <v>1</v>
      </c>
      <c r="J644">
        <v>0</v>
      </c>
      <c r="K644">
        <v>5</v>
      </c>
      <c r="L644">
        <v>5</v>
      </c>
      <c r="M644" s="48">
        <v>0.2</v>
      </c>
    </row>
    <row r="645" spans="1:13" x14ac:dyDescent="0.35">
      <c r="A645" t="s">
        <v>209</v>
      </c>
      <c r="B645" t="s">
        <v>36</v>
      </c>
      <c r="C645" t="s">
        <v>157</v>
      </c>
      <c r="D645" t="s">
        <v>146</v>
      </c>
      <c r="E645" t="s">
        <v>221</v>
      </c>
      <c r="F645" t="s">
        <v>199</v>
      </c>
      <c r="G645" t="s">
        <v>199</v>
      </c>
      <c r="H645">
        <v>0</v>
      </c>
      <c r="I645">
        <v>0</v>
      </c>
      <c r="J645">
        <v>0</v>
      </c>
      <c r="K645">
        <v>23</v>
      </c>
      <c r="L645">
        <v>19</v>
      </c>
      <c r="M645" s="48">
        <v>0</v>
      </c>
    </row>
    <row r="646" spans="1:13" x14ac:dyDescent="0.35">
      <c r="A646" t="s">
        <v>209</v>
      </c>
      <c r="B646" t="s">
        <v>36</v>
      </c>
      <c r="C646" t="s">
        <v>158</v>
      </c>
      <c r="D646" t="s">
        <v>146</v>
      </c>
      <c r="E646" t="s">
        <v>221</v>
      </c>
      <c r="F646" t="s">
        <v>199</v>
      </c>
      <c r="G646" t="s">
        <v>199</v>
      </c>
      <c r="H646">
        <v>1</v>
      </c>
      <c r="I646">
        <v>1</v>
      </c>
      <c r="J646">
        <v>0</v>
      </c>
      <c r="K646">
        <v>30</v>
      </c>
      <c r="L646">
        <v>29</v>
      </c>
      <c r="M646" s="48">
        <v>3.4482758620689703E-2</v>
      </c>
    </row>
    <row r="647" spans="1:13" x14ac:dyDescent="0.35">
      <c r="A647" t="s">
        <v>209</v>
      </c>
      <c r="B647" t="s">
        <v>36</v>
      </c>
      <c r="C647" t="s">
        <v>150</v>
      </c>
      <c r="D647" t="s">
        <v>146</v>
      </c>
      <c r="E647" t="s">
        <v>223</v>
      </c>
      <c r="F647" t="s">
        <v>199</v>
      </c>
      <c r="G647" t="s">
        <v>199</v>
      </c>
      <c r="H647">
        <v>1</v>
      </c>
      <c r="I647">
        <v>1</v>
      </c>
      <c r="J647">
        <v>0</v>
      </c>
      <c r="K647">
        <v>4</v>
      </c>
      <c r="L647">
        <v>4</v>
      </c>
      <c r="M647" s="48">
        <v>0.25</v>
      </c>
    </row>
    <row r="648" spans="1:13" x14ac:dyDescent="0.35">
      <c r="A648" t="s">
        <v>209</v>
      </c>
      <c r="B648" t="s">
        <v>36</v>
      </c>
      <c r="C648" t="s">
        <v>155</v>
      </c>
      <c r="D648" t="s">
        <v>146</v>
      </c>
      <c r="E648" t="s">
        <v>223</v>
      </c>
      <c r="F648" t="s">
        <v>199</v>
      </c>
      <c r="G648" t="s">
        <v>199</v>
      </c>
      <c r="H648">
        <v>1</v>
      </c>
      <c r="I648">
        <v>1</v>
      </c>
      <c r="J648">
        <v>0</v>
      </c>
      <c r="K648">
        <v>8</v>
      </c>
      <c r="L648">
        <v>7</v>
      </c>
      <c r="M648" s="48">
        <v>0.14285714285714299</v>
      </c>
    </row>
    <row r="649" spans="1:13" x14ac:dyDescent="0.35">
      <c r="A649" t="s">
        <v>209</v>
      </c>
      <c r="B649" t="s">
        <v>36</v>
      </c>
      <c r="C649" t="s">
        <v>157</v>
      </c>
      <c r="D649" t="s">
        <v>146</v>
      </c>
      <c r="E649" t="s">
        <v>223</v>
      </c>
      <c r="F649" t="s">
        <v>199</v>
      </c>
      <c r="G649" t="s">
        <v>199</v>
      </c>
      <c r="H649">
        <v>1</v>
      </c>
      <c r="I649">
        <v>1</v>
      </c>
      <c r="J649">
        <v>0</v>
      </c>
      <c r="K649">
        <v>16</v>
      </c>
      <c r="L649">
        <v>16</v>
      </c>
      <c r="M649" s="48">
        <v>6.25E-2</v>
      </c>
    </row>
    <row r="650" spans="1:13" x14ac:dyDescent="0.35">
      <c r="A650" t="s">
        <v>209</v>
      </c>
      <c r="B650" t="s">
        <v>36</v>
      </c>
      <c r="C650" t="s">
        <v>154</v>
      </c>
      <c r="D650" t="s">
        <v>225</v>
      </c>
      <c r="E650" t="s">
        <v>224</v>
      </c>
      <c r="F650" t="s">
        <v>199</v>
      </c>
      <c r="G650" t="s">
        <v>199</v>
      </c>
      <c r="H650">
        <v>2</v>
      </c>
      <c r="I650">
        <v>2</v>
      </c>
      <c r="J650">
        <v>0</v>
      </c>
      <c r="K650">
        <v>21</v>
      </c>
      <c r="L650">
        <v>20</v>
      </c>
      <c r="M650" s="48">
        <v>0.1</v>
      </c>
    </row>
    <row r="667" spans="1:8" x14ac:dyDescent="0.35">
      <c r="A667" t="s">
        <v>49</v>
      </c>
      <c r="B667">
        <v>649</v>
      </c>
      <c r="C667">
        <v>1068580</v>
      </c>
      <c r="D667">
        <v>1646.5023112480701</v>
      </c>
      <c r="E667">
        <v>6192544</v>
      </c>
      <c r="F667">
        <v>9179500</v>
      </c>
      <c r="G667">
        <v>783</v>
      </c>
      <c r="H667">
        <v>1014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6DB4"/>
  </sheetPr>
  <dimension ref="A1:K38"/>
  <sheetViews>
    <sheetView zoomScaleNormal="100" workbookViewId="0">
      <selection activeCell="E32" sqref="E32"/>
    </sheetView>
  </sheetViews>
  <sheetFormatPr defaultColWidth="8.6328125" defaultRowHeight="14.5" x14ac:dyDescent="0.35"/>
  <cols>
    <col min="1" max="1" width="14" style="1" customWidth="1"/>
    <col min="2" max="2" width="31.453125" style="1" customWidth="1"/>
    <col min="3" max="4" width="16" style="1" customWidth="1"/>
    <col min="5" max="5" width="14" style="1" customWidth="1"/>
    <col min="6" max="6" width="10" style="1" customWidth="1"/>
    <col min="7" max="7" width="12" style="1" customWidth="1"/>
    <col min="8" max="8" width="14" style="1" customWidth="1"/>
    <col min="9" max="10" width="16" style="1" customWidth="1"/>
    <col min="11" max="11" width="15.7265625" customWidth="1"/>
  </cols>
  <sheetData>
    <row r="1" spans="1:11" ht="17.25" customHeight="1" x14ac:dyDescent="0.4">
      <c r="A1" s="219" t="s">
        <v>45</v>
      </c>
      <c r="B1" s="219"/>
      <c r="C1" s="219"/>
      <c r="D1" s="219"/>
      <c r="E1" s="219"/>
      <c r="F1" s="219"/>
      <c r="G1" s="219"/>
      <c r="H1" s="219"/>
      <c r="I1" s="219"/>
      <c r="J1" s="219"/>
    </row>
    <row r="3" spans="1:11" ht="29" customHeight="1" x14ac:dyDescent="0.35">
      <c r="A3" s="2" t="s">
        <v>0</v>
      </c>
      <c r="B3" s="2" t="s">
        <v>46</v>
      </c>
      <c r="C3" s="2" t="s">
        <v>6</v>
      </c>
      <c r="D3" s="2" t="s">
        <v>9</v>
      </c>
      <c r="E3" s="2" t="s">
        <v>10</v>
      </c>
      <c r="F3" s="2" t="s">
        <v>8</v>
      </c>
      <c r="G3" s="2" t="s">
        <v>7</v>
      </c>
      <c r="H3" s="2" t="s">
        <v>47</v>
      </c>
      <c r="I3" s="2" t="s">
        <v>48</v>
      </c>
      <c r="J3" s="2" t="s">
        <v>11</v>
      </c>
      <c r="K3" s="35" t="s">
        <v>98</v>
      </c>
    </row>
    <row r="4" spans="1:11" ht="15" customHeight="1" x14ac:dyDescent="0.35">
      <c r="A4" s="3" t="s">
        <v>12</v>
      </c>
      <c r="B4" s="4">
        <f>COUNTIF('Cleaned Data'!A:A,"*July*")</f>
        <v>145</v>
      </c>
      <c r="C4" s="4">
        <f>SUMIF('Cleaned Data'!A:A,"*July*",'Cleaned Data'!H:H)</f>
        <v>107491</v>
      </c>
      <c r="D4" s="4">
        <f>SUMIF('Cleaned Data'!A:A,"*July*",'Cleaned Data'!K:K)</f>
        <v>801497</v>
      </c>
      <c r="E4" s="4">
        <f>SUMIF('Cleaned Data'!A:A,"*July*",'Cleaned Data'!L:L)</f>
        <v>783903</v>
      </c>
      <c r="F4" s="4">
        <f>SUMIF('Cleaned Data'!A:A,"*July*",'Cleaned Data'!J:J)</f>
        <v>91</v>
      </c>
      <c r="G4" s="4">
        <f>SUMIF('Cleaned Data'!A:A,"*July*",'Cleaned Data'!I:I)</f>
        <v>217</v>
      </c>
      <c r="H4" s="7">
        <f t="shared" ref="H4:H9" si="0">IFERROR(C4/B4,0)</f>
        <v>741.3172413793103</v>
      </c>
      <c r="I4" s="8">
        <f t="shared" ref="I4:I9" si="1">IFERROR(C4/D4,0)</f>
        <v>0.13411279143901975</v>
      </c>
      <c r="J4" s="8">
        <f t="shared" ref="J4:J9" si="2">IFERROR(C4/E4,0)</f>
        <v>0.13712283279946627</v>
      </c>
      <c r="K4">
        <f t="shared" ref="K4:K9" si="3">E4/B4</f>
        <v>5406.2275862068964</v>
      </c>
    </row>
    <row r="5" spans="1:11" ht="15" customHeight="1" x14ac:dyDescent="0.35">
      <c r="A5" s="9" t="s">
        <v>37</v>
      </c>
      <c r="B5" s="6">
        <f>COUNTIF('Cleaned Data'!A:A,"*August*")</f>
        <v>116</v>
      </c>
      <c r="C5" s="6">
        <f>SUMIF('Cleaned Data'!A:A,"*August*",'Cleaned Data'!H:H)</f>
        <v>209361</v>
      </c>
      <c r="D5" s="6">
        <f>SUMIF('Cleaned Data'!A:A,"*August*",'Cleaned Data'!K:K)</f>
        <v>2611487</v>
      </c>
      <c r="E5" s="6">
        <f>SUMIF('Cleaned Data'!A:A,"*August*",'Cleaned Data'!L:L)</f>
        <v>2340597</v>
      </c>
      <c r="F5" s="6">
        <f>SUMIF('Cleaned Data'!A:A,"*August*",'Cleaned Data'!J:J)</f>
        <v>180</v>
      </c>
      <c r="G5" s="6">
        <f>SUMIF('Cleaned Data'!A:A,"*August*",'Cleaned Data'!I:I)</f>
        <v>186</v>
      </c>
      <c r="H5" s="10">
        <f t="shared" si="0"/>
        <v>1804.8362068965516</v>
      </c>
      <c r="I5" s="11">
        <f t="shared" si="1"/>
        <v>8.0169267547569645E-2</v>
      </c>
      <c r="J5" s="11">
        <f t="shared" si="2"/>
        <v>8.944769219135118E-2</v>
      </c>
      <c r="K5">
        <f t="shared" si="3"/>
        <v>20177.560344827587</v>
      </c>
    </row>
    <row r="6" spans="1:11" ht="15" customHeight="1" x14ac:dyDescent="0.35">
      <c r="A6" s="3" t="s">
        <v>39</v>
      </c>
      <c r="B6" s="4">
        <f>COUNTIF('Cleaned Data'!A:A,"*September*")</f>
        <v>121</v>
      </c>
      <c r="C6" s="4">
        <f>SUMIF('Cleaned Data'!A:A,"*September*",'Cleaned Data'!H:H)</f>
        <v>585696</v>
      </c>
      <c r="D6" s="4">
        <f>SUMIF('Cleaned Data'!A:A,"*September*",'Cleaned Data'!K:K)</f>
        <v>1997128</v>
      </c>
      <c r="E6" s="4">
        <f>SUMIF('Cleaned Data'!A:A,"*September*",'Cleaned Data'!L:L)</f>
        <v>1983814</v>
      </c>
      <c r="F6" s="4">
        <f>SUMIF('Cleaned Data'!A:A,"*September*",'Cleaned Data'!J:J)</f>
        <v>79</v>
      </c>
      <c r="G6" s="4">
        <f>SUMIF('Cleaned Data'!A:A,"*September*",'Cleaned Data'!I:I)</f>
        <v>183</v>
      </c>
      <c r="H6" s="7">
        <f t="shared" si="0"/>
        <v>4840.4628099173551</v>
      </c>
      <c r="I6" s="8">
        <f t="shared" si="1"/>
        <v>0.29326913447710912</v>
      </c>
      <c r="J6" s="8">
        <f t="shared" si="2"/>
        <v>0.29523735592147249</v>
      </c>
      <c r="K6">
        <f t="shared" si="3"/>
        <v>16395.157024793389</v>
      </c>
    </row>
    <row r="7" spans="1:11" ht="15" customHeight="1" x14ac:dyDescent="0.35">
      <c r="A7" s="9" t="s">
        <v>41</v>
      </c>
      <c r="B7" s="6">
        <f>COUNTIF('Cleaned Data'!A:A,"*October*")</f>
        <v>134</v>
      </c>
      <c r="C7" s="6">
        <f>SUMIF('Cleaned Data'!A:A,"*October*",'Cleaned Data'!H:H)</f>
        <v>450</v>
      </c>
      <c r="D7" s="6">
        <f>SUMIF('Cleaned Data'!A:A,"*October*",'Cleaned Data'!K:K)</f>
        <v>15047</v>
      </c>
      <c r="E7" s="6">
        <f>SUMIF('Cleaned Data'!A:A,"*October*",'Cleaned Data'!L:L)</f>
        <v>14573</v>
      </c>
      <c r="F7" s="6">
        <f>SUMIF('Cleaned Data'!A:A,"*October*",'Cleaned Data'!J:J)</f>
        <v>68</v>
      </c>
      <c r="G7" s="6">
        <f>SUMIF('Cleaned Data'!A:A,"*October*",'Cleaned Data'!I:I)</f>
        <v>239</v>
      </c>
      <c r="H7" s="10">
        <f t="shared" si="0"/>
        <v>3.3582089552238807</v>
      </c>
      <c r="I7" s="11">
        <f t="shared" si="1"/>
        <v>2.9906293613344851E-2</v>
      </c>
      <c r="J7" s="11">
        <f t="shared" si="2"/>
        <v>3.087902285047691E-2</v>
      </c>
      <c r="K7">
        <f t="shared" si="3"/>
        <v>108.75373134328358</v>
      </c>
    </row>
    <row r="8" spans="1:11" ht="15" customHeight="1" x14ac:dyDescent="0.35">
      <c r="A8" s="3" t="s">
        <v>42</v>
      </c>
      <c r="B8" s="4">
        <f>COUNTIF('Cleaned Data'!A:A,"*November*")</f>
        <v>133</v>
      </c>
      <c r="C8" s="4">
        <f>SUMIF('Cleaned Data'!A:A,"*November*",'Cleaned Data'!H:H)</f>
        <v>165582</v>
      </c>
      <c r="D8" s="4">
        <f>SUMIF('Cleaned Data'!A:A,"*November*",'Cleaned Data'!K:K)</f>
        <v>3754341</v>
      </c>
      <c r="E8" s="4">
        <f>SUMIF('Cleaned Data'!A:A,"*November*",'Cleaned Data'!L:L)</f>
        <v>1069657</v>
      </c>
      <c r="F8" s="4">
        <f>SUMIF('Cleaned Data'!A:A,"*November*",'Cleaned Data'!J:J)</f>
        <v>365</v>
      </c>
      <c r="G8" s="4">
        <f>SUMIF('Cleaned Data'!A:A,"*November*",'Cleaned Data'!I:I)</f>
        <v>189</v>
      </c>
      <c r="H8" s="7">
        <f t="shared" si="0"/>
        <v>1244.9774436090227</v>
      </c>
      <c r="I8" s="8">
        <f t="shared" si="1"/>
        <v>4.4104145041699731E-2</v>
      </c>
      <c r="J8" s="8">
        <f t="shared" si="2"/>
        <v>0.15479915524322282</v>
      </c>
      <c r="K8">
        <f t="shared" si="3"/>
        <v>8042.5338345864666</v>
      </c>
    </row>
    <row r="9" spans="1:11" ht="15" customHeight="1" x14ac:dyDescent="0.35">
      <c r="A9" s="12" t="s">
        <v>49</v>
      </c>
      <c r="B9" s="13">
        <f t="shared" ref="B9:G9" si="4">SUM(B4:B8)</f>
        <v>649</v>
      </c>
      <c r="C9" s="13">
        <f t="shared" si="4"/>
        <v>1068580</v>
      </c>
      <c r="D9" s="13">
        <f t="shared" si="4"/>
        <v>9179500</v>
      </c>
      <c r="E9" s="13">
        <f t="shared" si="4"/>
        <v>6192544</v>
      </c>
      <c r="F9" s="13">
        <f t="shared" si="4"/>
        <v>783</v>
      </c>
      <c r="G9" s="13">
        <f t="shared" si="4"/>
        <v>1014</v>
      </c>
      <c r="H9" s="14">
        <f t="shared" si="0"/>
        <v>1646.502311248074</v>
      </c>
      <c r="I9" s="15">
        <f t="shared" si="1"/>
        <v>0.11640939048967809</v>
      </c>
      <c r="J9" s="15">
        <f t="shared" si="2"/>
        <v>0.17255912917211408</v>
      </c>
      <c r="K9">
        <f t="shared" si="3"/>
        <v>9541.6702619414482</v>
      </c>
    </row>
    <row r="11" spans="1:11" ht="15" customHeight="1" x14ac:dyDescent="0.35">
      <c r="A11" s="220" t="s">
        <v>50</v>
      </c>
      <c r="B11" s="220"/>
      <c r="C11" s="220"/>
      <c r="D11" s="220"/>
    </row>
    <row r="12" spans="1:11" ht="23.25" customHeight="1" x14ac:dyDescent="0.35">
      <c r="A12" s="16" t="s">
        <v>51</v>
      </c>
      <c r="B12" s="16" t="s">
        <v>52</v>
      </c>
      <c r="C12" s="16" t="s">
        <v>53</v>
      </c>
      <c r="D12" s="16" t="s">
        <v>54</v>
      </c>
    </row>
    <row r="13" spans="1:11" ht="15" customHeight="1" x14ac:dyDescent="0.35">
      <c r="A13" s="17" t="s">
        <v>55</v>
      </c>
      <c r="B13" s="18">
        <f t="shared" ref="B13:D16" si="5">IFERROR((C5-C4)/C4,0)</f>
        <v>0.94770724990929478</v>
      </c>
      <c r="C13" s="18">
        <f t="shared" si="5"/>
        <v>2.2582617277419628</v>
      </c>
      <c r="D13" s="18">
        <f t="shared" si="5"/>
        <v>1.9858247767899855</v>
      </c>
    </row>
    <row r="14" spans="1:11" ht="15" customHeight="1" x14ac:dyDescent="0.35">
      <c r="A14" s="17" t="s">
        <v>56</v>
      </c>
      <c r="B14" s="18">
        <f t="shared" si="5"/>
        <v>1.7975410893146289</v>
      </c>
      <c r="C14" s="18">
        <f t="shared" si="5"/>
        <v>-0.23525255917414101</v>
      </c>
      <c r="D14" s="18">
        <f t="shared" si="5"/>
        <v>-0.15243247769692947</v>
      </c>
    </row>
    <row r="15" spans="1:11" ht="15" customHeight="1" x14ac:dyDescent="0.35">
      <c r="A15" s="17" t="s">
        <v>57</v>
      </c>
      <c r="B15" s="18">
        <f t="shared" si="5"/>
        <v>-0.99923168333060153</v>
      </c>
      <c r="C15" s="18">
        <f t="shared" si="5"/>
        <v>-0.99246568071751029</v>
      </c>
      <c r="D15" s="18">
        <f t="shared" si="5"/>
        <v>-0.99265404922034017</v>
      </c>
    </row>
    <row r="16" spans="1:11" ht="15" customHeight="1" x14ac:dyDescent="0.35">
      <c r="A16" s="17" t="s">
        <v>58</v>
      </c>
      <c r="B16" s="18">
        <f t="shared" si="5"/>
        <v>366.96</v>
      </c>
      <c r="C16" s="18">
        <f t="shared" si="5"/>
        <v>248.50760949026383</v>
      </c>
      <c r="D16" s="18">
        <f t="shared" si="5"/>
        <v>72.399917655939063</v>
      </c>
    </row>
    <row r="19" spans="1:10" x14ac:dyDescent="0.35">
      <c r="A19" s="38"/>
      <c r="B19" s="37"/>
    </row>
    <row r="20" spans="1:10" x14ac:dyDescent="0.35">
      <c r="A20" s="39"/>
      <c r="B20" s="40"/>
    </row>
    <row r="21" spans="1:10" x14ac:dyDescent="0.35">
      <c r="A21" s="37"/>
      <c r="B21" s="37"/>
    </row>
    <row r="22" spans="1:10" x14ac:dyDescent="0.35">
      <c r="A22" s="39"/>
      <c r="B22" s="40"/>
    </row>
    <row r="23" spans="1:10" x14ac:dyDescent="0.35">
      <c r="A23" s="41"/>
      <c r="B23" s="42"/>
    </row>
    <row r="24" spans="1:10" x14ac:dyDescent="0.35">
      <c r="A24" s="39"/>
      <c r="B24" s="40"/>
    </row>
    <row r="25" spans="1:10" x14ac:dyDescent="0.35">
      <c r="A25" s="41"/>
      <c r="B25" s="36"/>
    </row>
    <row r="26" spans="1:10" x14ac:dyDescent="0.35">
      <c r="A26" s="39"/>
    </row>
    <row r="29" spans="1:10" ht="72.5" customHeight="1" x14ac:dyDescent="0.35">
      <c r="A29" s="43" t="s">
        <v>0</v>
      </c>
      <c r="B29" s="44" t="s">
        <v>99</v>
      </c>
      <c r="C29" s="44"/>
      <c r="J29"/>
    </row>
    <row r="30" spans="1:10" x14ac:dyDescent="0.35">
      <c r="A30" s="45" t="s">
        <v>12</v>
      </c>
      <c r="B30" s="49">
        <v>0.13700000000000001</v>
      </c>
      <c r="C30" s="47"/>
    </row>
    <row r="31" spans="1:10" x14ac:dyDescent="0.35">
      <c r="A31" s="45" t="s">
        <v>37</v>
      </c>
      <c r="B31" s="49">
        <v>8.8999999999999996E-2</v>
      </c>
      <c r="C31" s="47"/>
    </row>
    <row r="32" spans="1:10" x14ac:dyDescent="0.35">
      <c r="A32" s="45" t="s">
        <v>39</v>
      </c>
      <c r="B32" s="49">
        <v>0.29499999999999998</v>
      </c>
      <c r="C32" s="47"/>
    </row>
    <row r="33" spans="1:3" x14ac:dyDescent="0.35">
      <c r="A33" s="45" t="s">
        <v>41</v>
      </c>
      <c r="B33" s="49">
        <v>3.1E-2</v>
      </c>
      <c r="C33" s="47"/>
    </row>
    <row r="34" spans="1:3" x14ac:dyDescent="0.35">
      <c r="A34" s="45" t="s">
        <v>42</v>
      </c>
      <c r="B34" s="49">
        <v>0.155</v>
      </c>
      <c r="C34" s="47"/>
    </row>
    <row r="35" spans="1:3" x14ac:dyDescent="0.35">
      <c r="A35" s="50" t="s">
        <v>100</v>
      </c>
      <c r="B35" s="52">
        <v>0.17299999999999999</v>
      </c>
      <c r="C35" s="51"/>
    </row>
    <row r="38" spans="1:3" x14ac:dyDescent="0.35">
      <c r="A38"/>
    </row>
  </sheetData>
  <mergeCells count="2">
    <mergeCell ref="A1:J1"/>
    <mergeCell ref="A11:D1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792B"/>
  </sheetPr>
  <dimension ref="A1:J19"/>
  <sheetViews>
    <sheetView topLeftCell="A7" zoomScaleNormal="100" workbookViewId="0">
      <selection activeCell="F17" sqref="F17"/>
    </sheetView>
  </sheetViews>
  <sheetFormatPr defaultColWidth="8.6328125" defaultRowHeight="14.5" x14ac:dyDescent="0.35"/>
  <cols>
    <col min="1" max="1" width="14" style="1" customWidth="1"/>
    <col min="2" max="2" width="19" style="1" customWidth="1"/>
    <col min="3" max="3" width="14" style="1" customWidth="1"/>
    <col min="4" max="4" width="16" style="1" customWidth="1"/>
    <col min="5" max="5" width="14" style="1" customWidth="1"/>
    <col min="6" max="6" width="10" style="1" customWidth="1"/>
    <col min="7" max="7" width="12" style="1" customWidth="1"/>
    <col min="8" max="8" width="14" style="1" customWidth="1"/>
    <col min="9" max="9" width="16" style="1" customWidth="1"/>
    <col min="10" max="10" width="16.90625" customWidth="1"/>
  </cols>
  <sheetData>
    <row r="1" spans="1:10" ht="17.25" customHeight="1" x14ac:dyDescent="0.4">
      <c r="A1" s="219" t="s">
        <v>59</v>
      </c>
      <c r="B1" s="219"/>
      <c r="C1" s="219"/>
      <c r="D1" s="219"/>
      <c r="E1" s="219"/>
      <c r="F1" s="219"/>
      <c r="G1" s="219"/>
      <c r="H1" s="219"/>
      <c r="I1" s="219"/>
    </row>
    <row r="3" spans="1:10" ht="18.5" customHeight="1" x14ac:dyDescent="0.35">
      <c r="A3" s="2" t="s">
        <v>1</v>
      </c>
      <c r="B3" s="2" t="s">
        <v>46</v>
      </c>
      <c r="C3" s="2" t="s">
        <v>6</v>
      </c>
      <c r="D3" s="2" t="s">
        <v>9</v>
      </c>
      <c r="E3" s="2" t="s">
        <v>10</v>
      </c>
      <c r="F3" s="2" t="s">
        <v>8</v>
      </c>
      <c r="G3" s="2" t="s">
        <v>7</v>
      </c>
      <c r="H3" s="2" t="s">
        <v>47</v>
      </c>
      <c r="I3" s="2" t="s">
        <v>48</v>
      </c>
      <c r="J3" s="32" t="s">
        <v>68</v>
      </c>
    </row>
    <row r="4" spans="1:10" ht="15" customHeight="1" x14ac:dyDescent="0.35">
      <c r="A4" s="3" t="s">
        <v>13</v>
      </c>
      <c r="B4" s="4">
        <f>COUNTIF('Cleaned Data'!B:B,"Facebook")</f>
        <v>335</v>
      </c>
      <c r="C4" s="4">
        <f>SUMIF('Cleaned Data'!B:B,"Facebook",'Cleaned Data'!H:H)</f>
        <v>1067556</v>
      </c>
      <c r="D4" s="4">
        <f>SUMIF('Cleaned Data'!B:B,"Facebook",'Cleaned Data'!K:K)</f>
        <v>9167941</v>
      </c>
      <c r="E4" s="4">
        <f>SUMIF('Cleaned Data'!B:B,"Facebook",'Cleaned Data'!L:L)</f>
        <v>6181114</v>
      </c>
      <c r="F4" s="4">
        <f>SUMIF('Cleaned Data'!B:B,"Facebook",'Cleaned Data'!J:J)</f>
        <v>773</v>
      </c>
      <c r="G4" s="4">
        <f>SUMIF('Cleaned Data'!B:B,"Facebook",'Cleaned Data'!I:I)</f>
        <v>15</v>
      </c>
      <c r="H4" s="7">
        <f>IFERROR(C4/B4,0)</f>
        <v>3186.734328358209</v>
      </c>
      <c r="I4" s="8">
        <f>IFERROR(C4/D4,0)</f>
        <v>0.11644446664741843</v>
      </c>
      <c r="J4">
        <f>IFERROR(E4/B4,0)</f>
        <v>18451.08656716418</v>
      </c>
    </row>
    <row r="5" spans="1:10" ht="15" customHeight="1" x14ac:dyDescent="0.35">
      <c r="A5" s="5" t="s">
        <v>36</v>
      </c>
      <c r="B5" s="6">
        <f>COUNTIF('Cleaned Data'!B:B,"Instagram")</f>
        <v>314</v>
      </c>
      <c r="C5" s="6">
        <f>SUMIF('Cleaned Data'!B:B,"Instagram",'Cleaned Data'!H:H)</f>
        <v>1024</v>
      </c>
      <c r="D5" s="6">
        <f>SUMIF('Cleaned Data'!B:B,"Instagram",'Cleaned Data'!K:K)</f>
        <v>11559</v>
      </c>
      <c r="E5" s="6">
        <f>SUMIF('Cleaned Data'!B:B,"Instagram",'Cleaned Data'!L:L)</f>
        <v>11430</v>
      </c>
      <c r="F5" s="6">
        <f>SUMIF('Cleaned Data'!B:B,"Instagram",'Cleaned Data'!J:J)</f>
        <v>10</v>
      </c>
      <c r="G5" s="6">
        <f>SUMIF('Cleaned Data'!B:B,"Instagram",'Cleaned Data'!I:I)</f>
        <v>999</v>
      </c>
      <c r="H5" s="10">
        <f>IFERROR(C5/B5,0)</f>
        <v>3.2611464968152868</v>
      </c>
      <c r="I5" s="11">
        <f>IFERROR(C5/D5,0)</f>
        <v>8.8588978285318795E-2</v>
      </c>
      <c r="J5">
        <f>IFERROR(E5/B5,0)</f>
        <v>36.401273885350321</v>
      </c>
    </row>
    <row r="8" spans="1:10" ht="15" customHeight="1" x14ac:dyDescent="0.35">
      <c r="A8" s="220" t="s">
        <v>60</v>
      </c>
      <c r="B8" s="220"/>
      <c r="C8" s="220"/>
      <c r="D8" s="220"/>
      <c r="E8" s="220"/>
    </row>
    <row r="9" spans="1:10" ht="15" customHeight="1" x14ac:dyDescent="0.35">
      <c r="A9" s="2" t="s">
        <v>0</v>
      </c>
      <c r="B9" s="2" t="s">
        <v>13</v>
      </c>
      <c r="C9" s="2" t="s">
        <v>36</v>
      </c>
      <c r="D9" s="2" t="s">
        <v>61</v>
      </c>
      <c r="E9" s="2" t="s">
        <v>62</v>
      </c>
    </row>
    <row r="10" spans="1:10" ht="15" customHeight="1" x14ac:dyDescent="0.35">
      <c r="A10" s="19" t="s">
        <v>12</v>
      </c>
      <c r="B10" s="20">
        <f>SUMIFS('Cleaned Data'!H:H,'Cleaned Data'!A:A,"*July*",'Cleaned Data'!B:B,"Facebook")</f>
        <v>107278</v>
      </c>
      <c r="C10" s="20">
        <f>SUMIFS('Cleaned Data'!H:H,'Cleaned Data'!A:A,"*July*",'Cleaned Data'!B:B,"Instagram")</f>
        <v>213</v>
      </c>
      <c r="D10" s="20">
        <f>B10+C10</f>
        <v>107491</v>
      </c>
      <c r="E10" s="18">
        <f>IFERROR(B10/D10,0)</f>
        <v>0.99801843875301188</v>
      </c>
    </row>
    <row r="11" spans="1:10" ht="15" customHeight="1" x14ac:dyDescent="0.35">
      <c r="A11" s="19" t="s">
        <v>37</v>
      </c>
      <c r="B11" s="20">
        <f>SUMIFS('Cleaned Data'!H:H,'Cleaned Data'!A:A,"*August*",'Cleaned Data'!B:B,"Facebook")</f>
        <v>209171</v>
      </c>
      <c r="C11" s="20">
        <f>SUMIFS('Cleaned Data'!H:H,'Cleaned Data'!A:A,"*August*",'Cleaned Data'!B:B,"Instagram")</f>
        <v>190</v>
      </c>
      <c r="D11" s="20">
        <f>B11+C11</f>
        <v>209361</v>
      </c>
      <c r="E11" s="18">
        <f>IFERROR(B11/D11,0)</f>
        <v>0.99909247663127321</v>
      </c>
    </row>
    <row r="12" spans="1:10" ht="15" customHeight="1" x14ac:dyDescent="0.35">
      <c r="A12" s="19" t="s">
        <v>39</v>
      </c>
      <c r="B12" s="20">
        <f>SUMIFS('Cleaned Data'!H:H,'Cleaned Data'!A:A,"*September*",'Cleaned Data'!B:B,"Facebook")</f>
        <v>585509</v>
      </c>
      <c r="C12" s="20">
        <f>SUMIFS('Cleaned Data'!H:H,'Cleaned Data'!A:A,"*September*",'Cleaned Data'!B:B,"Instagram")</f>
        <v>187</v>
      </c>
      <c r="D12" s="20">
        <f>B12+C12</f>
        <v>585696</v>
      </c>
      <c r="E12" s="18">
        <f>IFERROR(B12/D12,0)</f>
        <v>0.99968072173960554</v>
      </c>
    </row>
    <row r="13" spans="1:10" ht="15" customHeight="1" x14ac:dyDescent="0.35">
      <c r="A13" s="19" t="s">
        <v>41</v>
      </c>
      <c r="B13" s="20">
        <f>SUMIFS('Cleaned Data'!H:H,'Cleaned Data'!A:A,"*October*",'Cleaned Data'!B:B,"Facebook")</f>
        <v>205</v>
      </c>
      <c r="C13" s="20">
        <f>SUMIFS('Cleaned Data'!H:H,'Cleaned Data'!A:A,"*October*",'Cleaned Data'!B:B,"Instagram")</f>
        <v>245</v>
      </c>
      <c r="D13" s="20">
        <f>B13+C13</f>
        <v>450</v>
      </c>
      <c r="E13" s="18">
        <f>IFERROR(B13/D13,0)</f>
        <v>0.45555555555555555</v>
      </c>
    </row>
    <row r="14" spans="1:10" ht="15" customHeight="1" x14ac:dyDescent="0.35">
      <c r="A14" s="19" t="s">
        <v>42</v>
      </c>
      <c r="B14" s="20">
        <f>SUMIFS('Cleaned Data'!H:H,'Cleaned Data'!A:A,"*November*",'Cleaned Data'!B:B,"Facebook")</f>
        <v>165393</v>
      </c>
      <c r="C14" s="20">
        <f>SUMIFS('Cleaned Data'!H:H,'Cleaned Data'!A:A,"*November*",'Cleaned Data'!B:B,"Instagram")</f>
        <v>189</v>
      </c>
      <c r="D14" s="20">
        <f>B14+C14</f>
        <v>165582</v>
      </c>
      <c r="E14" s="18">
        <f>IFERROR(B14/D14,0)</f>
        <v>0.99885857158386782</v>
      </c>
    </row>
    <row r="17" spans="1:3" x14ac:dyDescent="0.35">
      <c r="A17" s="2" t="s">
        <v>1</v>
      </c>
      <c r="B17" s="33" t="s">
        <v>97</v>
      </c>
    </row>
    <row r="18" spans="1:3" x14ac:dyDescent="0.35">
      <c r="A18" s="3" t="s">
        <v>13</v>
      </c>
      <c r="B18" s="1">
        <f>IFERROR(C4/B4,0)</f>
        <v>3186.734328358209</v>
      </c>
      <c r="C18" s="34">
        <v>0.17269999999999999</v>
      </c>
    </row>
    <row r="19" spans="1:3" x14ac:dyDescent="0.35">
      <c r="A19" s="5" t="s">
        <v>36</v>
      </c>
      <c r="B19" s="1">
        <f>IFERROR(C5/B5,0)</f>
        <v>3.2611464968152868</v>
      </c>
      <c r="C19" s="34">
        <v>8.9599999999999999E-2</v>
      </c>
    </row>
  </sheetData>
  <mergeCells count="2">
    <mergeCell ref="A1:I1"/>
    <mergeCell ref="A8:E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EAC6A"/>
  </sheetPr>
  <dimension ref="A1:I40"/>
  <sheetViews>
    <sheetView zoomScaleNormal="100" workbookViewId="0">
      <selection activeCell="I24" sqref="I24"/>
    </sheetView>
  </sheetViews>
  <sheetFormatPr defaultColWidth="8.6328125" defaultRowHeight="14.5" x14ac:dyDescent="0.35"/>
  <cols>
    <col min="1" max="1" width="20.90625" style="1" customWidth="1"/>
    <col min="2" max="2" width="24.08984375" style="1" customWidth="1"/>
    <col min="3" max="3" width="21.08984375" style="1" customWidth="1"/>
    <col min="4" max="4" width="18.54296875" style="1" customWidth="1"/>
    <col min="5" max="5" width="11.81640625" style="1" bestFit="1" customWidth="1"/>
    <col min="6" max="6" width="21.26953125" style="1" customWidth="1"/>
    <col min="7" max="7" width="19.36328125" style="1" customWidth="1"/>
    <col min="8" max="8" width="12.6328125" style="1" bestFit="1" customWidth="1"/>
    <col min="9" max="9" width="18.54296875" customWidth="1"/>
  </cols>
  <sheetData>
    <row r="1" spans="1:9" ht="28" customHeight="1" x14ac:dyDescent="0.4">
      <c r="A1" s="221" t="s">
        <v>105</v>
      </c>
      <c r="B1" s="222"/>
      <c r="C1" s="222"/>
      <c r="D1" s="222"/>
      <c r="E1" s="222"/>
      <c r="F1" s="222"/>
      <c r="G1" s="222"/>
      <c r="H1" s="222"/>
    </row>
    <row r="2" spans="1:9" x14ac:dyDescent="0.35">
      <c r="A2" s="85" t="s">
        <v>5</v>
      </c>
      <c r="B2" s="86" t="s">
        <v>46</v>
      </c>
      <c r="C2" s="86" t="s">
        <v>91</v>
      </c>
      <c r="D2" s="86" t="s">
        <v>72</v>
      </c>
      <c r="E2" s="86" t="s">
        <v>47</v>
      </c>
      <c r="F2" s="86" t="s">
        <v>68</v>
      </c>
      <c r="G2" s="86" t="s">
        <v>104</v>
      </c>
      <c r="H2" s="87" t="s">
        <v>65</v>
      </c>
      <c r="I2" s="146" t="s">
        <v>106</v>
      </c>
    </row>
    <row r="3" spans="1:9" ht="15" customHeight="1" x14ac:dyDescent="0.35">
      <c r="A3" s="100" t="s">
        <v>17</v>
      </c>
      <c r="B3" s="112">
        <v>202</v>
      </c>
      <c r="C3" s="112">
        <v>893797</v>
      </c>
      <c r="D3" s="112">
        <v>4923133</v>
      </c>
      <c r="E3" s="101">
        <f t="shared" ref="E3:E12" si="0">C3/B3</f>
        <v>4424.7376237623766</v>
      </c>
      <c r="F3" s="101">
        <f t="shared" ref="F3:F12" si="1">D3/B3</f>
        <v>24371.945544554455</v>
      </c>
      <c r="G3" s="102">
        <f t="shared" ref="G3:G12" si="2">C3/D3</f>
        <v>0.18155044765193221</v>
      </c>
      <c r="H3" s="103">
        <f>C3/C14</f>
        <v>0.83660500841475083</v>
      </c>
      <c r="I3" s="208">
        <f t="shared" ref="I3:I12" si="3">(C3/D3)*100</f>
        <v>18.155044765193221</v>
      </c>
    </row>
    <row r="4" spans="1:9" ht="15" customHeight="1" x14ac:dyDescent="0.35">
      <c r="A4" s="88" t="s">
        <v>21</v>
      </c>
      <c r="B4" s="113">
        <v>8</v>
      </c>
      <c r="C4" s="113">
        <v>150829</v>
      </c>
      <c r="D4" s="113">
        <v>979218</v>
      </c>
      <c r="E4" s="104">
        <f t="shared" si="0"/>
        <v>18853.625</v>
      </c>
      <c r="F4" s="104">
        <f t="shared" si="1"/>
        <v>122402.25</v>
      </c>
      <c r="G4" s="105">
        <f t="shared" si="2"/>
        <v>0.15403005255213853</v>
      </c>
      <c r="H4" s="106">
        <f>C4/C14</f>
        <v>0.14117780302931029</v>
      </c>
      <c r="I4" s="208">
        <f t="shared" si="3"/>
        <v>15.403005255213852</v>
      </c>
    </row>
    <row r="5" spans="1:9" ht="15" customHeight="1" x14ac:dyDescent="0.35">
      <c r="A5" s="89" t="s">
        <v>22</v>
      </c>
      <c r="B5" s="114">
        <v>15</v>
      </c>
      <c r="C5" s="114">
        <v>8235</v>
      </c>
      <c r="D5" s="114">
        <v>164527</v>
      </c>
      <c r="E5" s="107">
        <f t="shared" si="0"/>
        <v>549</v>
      </c>
      <c r="F5" s="107">
        <f t="shared" si="1"/>
        <v>10968.466666666667</v>
      </c>
      <c r="G5" s="108">
        <f t="shared" si="2"/>
        <v>5.0052574957301844E-2</v>
      </c>
      <c r="H5" s="109">
        <f>C5/C14</f>
        <v>7.708061499753829E-3</v>
      </c>
      <c r="I5" s="208">
        <f t="shared" si="3"/>
        <v>5.0052574957301843</v>
      </c>
    </row>
    <row r="6" spans="1:9" ht="15" customHeight="1" x14ac:dyDescent="0.35">
      <c r="A6" s="88" t="s">
        <v>18</v>
      </c>
      <c r="B6" s="113">
        <v>186</v>
      </c>
      <c r="C6" s="113">
        <v>14939</v>
      </c>
      <c r="D6" s="113">
        <v>102225</v>
      </c>
      <c r="E6" s="104">
        <f t="shared" si="0"/>
        <v>80.317204301075265</v>
      </c>
      <c r="F6" s="104">
        <f t="shared" si="1"/>
        <v>549.59677419354841</v>
      </c>
      <c r="G6" s="105">
        <f t="shared" si="2"/>
        <v>0.14613842015162631</v>
      </c>
      <c r="H6" s="106">
        <f>C6/C14</f>
        <v>1.3983088129304487E-2</v>
      </c>
      <c r="I6" s="208">
        <f t="shared" si="3"/>
        <v>14.613842015162632</v>
      </c>
    </row>
    <row r="7" spans="1:9" ht="15" customHeight="1" x14ac:dyDescent="0.35">
      <c r="A7" s="89" t="s">
        <v>20</v>
      </c>
      <c r="B7" s="114">
        <v>66</v>
      </c>
      <c r="C7" s="114">
        <v>233</v>
      </c>
      <c r="D7" s="114">
        <v>8378</v>
      </c>
      <c r="E7" s="107">
        <f t="shared" si="0"/>
        <v>3.5303030303030303</v>
      </c>
      <c r="F7" s="107">
        <f t="shared" si="1"/>
        <v>126.93939393939394</v>
      </c>
      <c r="G7" s="108">
        <f t="shared" si="2"/>
        <v>2.7810933396992123E-2</v>
      </c>
      <c r="H7" s="109">
        <f>C7/C14</f>
        <v>2.1809087182060014E-4</v>
      </c>
      <c r="I7" s="208">
        <f t="shared" si="3"/>
        <v>2.7810933396992121</v>
      </c>
    </row>
    <row r="8" spans="1:9" ht="15" customHeight="1" x14ac:dyDescent="0.35">
      <c r="A8" s="88" t="s">
        <v>16</v>
      </c>
      <c r="B8" s="113">
        <v>39</v>
      </c>
      <c r="C8" s="113">
        <v>156</v>
      </c>
      <c r="D8" s="113">
        <v>5727</v>
      </c>
      <c r="E8" s="104">
        <f t="shared" si="0"/>
        <v>4</v>
      </c>
      <c r="F8" s="104">
        <f t="shared" si="1"/>
        <v>146.84615384615384</v>
      </c>
      <c r="G8" s="105">
        <f t="shared" si="2"/>
        <v>2.7239392352016764E-2</v>
      </c>
      <c r="H8" s="106">
        <f>C8/C14</f>
        <v>1.4601792276400696E-4</v>
      </c>
      <c r="I8" s="208">
        <f t="shared" si="3"/>
        <v>2.7239392352016765</v>
      </c>
    </row>
    <row r="9" spans="1:9" ht="15" customHeight="1" x14ac:dyDescent="0.35">
      <c r="A9" s="89" t="s">
        <v>29</v>
      </c>
      <c r="B9" s="114">
        <v>12</v>
      </c>
      <c r="C9" s="114">
        <v>40</v>
      </c>
      <c r="D9" s="114">
        <v>272</v>
      </c>
      <c r="E9" s="107">
        <f t="shared" si="0"/>
        <v>3.3333333333333335</v>
      </c>
      <c r="F9" s="107">
        <f t="shared" si="1"/>
        <v>22.666666666666668</v>
      </c>
      <c r="G9" s="108">
        <f t="shared" si="2"/>
        <v>0.14705882352941177</v>
      </c>
      <c r="H9" s="109">
        <f>C9/C14</f>
        <v>3.7440493016412038E-5</v>
      </c>
      <c r="I9" s="208">
        <f t="shared" si="3"/>
        <v>14.705882352941178</v>
      </c>
    </row>
    <row r="10" spans="1:9" ht="15" customHeight="1" x14ac:dyDescent="0.35">
      <c r="A10" s="88" t="s">
        <v>19</v>
      </c>
      <c r="B10" s="113">
        <v>21</v>
      </c>
      <c r="C10" s="113">
        <v>54</v>
      </c>
      <c r="D10" s="113">
        <v>2800</v>
      </c>
      <c r="E10" s="104">
        <f t="shared" si="0"/>
        <v>2.5714285714285716</v>
      </c>
      <c r="F10" s="104">
        <f t="shared" si="1"/>
        <v>133.33333333333334</v>
      </c>
      <c r="G10" s="105">
        <f t="shared" si="2"/>
        <v>1.9285714285714285E-2</v>
      </c>
      <c r="H10" s="106">
        <f>C10/C14</f>
        <v>5.0544665572156256E-5</v>
      </c>
      <c r="I10" s="208">
        <f t="shared" si="3"/>
        <v>1.9285714285714284</v>
      </c>
    </row>
    <row r="11" spans="1:9" x14ac:dyDescent="0.35">
      <c r="A11" s="90" t="s">
        <v>23</v>
      </c>
      <c r="B11" s="114">
        <v>21</v>
      </c>
      <c r="C11" s="114">
        <v>56</v>
      </c>
      <c r="D11" s="114">
        <v>2505</v>
      </c>
      <c r="E11" s="107">
        <f t="shared" si="0"/>
        <v>2.6666666666666665</v>
      </c>
      <c r="F11" s="107">
        <f t="shared" si="1"/>
        <v>119.28571428571429</v>
      </c>
      <c r="G11" s="108">
        <f t="shared" si="2"/>
        <v>2.2355289421157686E-2</v>
      </c>
      <c r="H11" s="109">
        <f>C11/C14</f>
        <v>5.2416690222976858E-5</v>
      </c>
      <c r="I11" s="208">
        <f t="shared" si="3"/>
        <v>2.2355289421157685</v>
      </c>
    </row>
    <row r="12" spans="1:9" x14ac:dyDescent="0.35">
      <c r="A12" s="91" t="s">
        <v>38</v>
      </c>
      <c r="B12" s="113">
        <v>3</v>
      </c>
      <c r="C12" s="113">
        <v>23</v>
      </c>
      <c r="D12" s="113">
        <v>101</v>
      </c>
      <c r="E12" s="104">
        <f t="shared" si="0"/>
        <v>7.666666666666667</v>
      </c>
      <c r="F12" s="104">
        <f t="shared" si="1"/>
        <v>33.666666666666664</v>
      </c>
      <c r="G12" s="105">
        <f t="shared" si="2"/>
        <v>0.22772277227722773</v>
      </c>
      <c r="H12" s="106">
        <f>C12/C14</f>
        <v>2.1528283484436922E-5</v>
      </c>
      <c r="I12" s="208">
        <f t="shared" si="3"/>
        <v>22.772277227722775</v>
      </c>
    </row>
    <row r="13" spans="1:9" x14ac:dyDescent="0.35">
      <c r="A13" s="90" t="s">
        <v>103</v>
      </c>
      <c r="B13" s="114">
        <v>0</v>
      </c>
      <c r="C13" s="114">
        <v>0</v>
      </c>
      <c r="D13" s="114">
        <v>0</v>
      </c>
      <c r="E13" s="107">
        <v>0</v>
      </c>
      <c r="F13" s="107">
        <v>0</v>
      </c>
      <c r="G13" s="108">
        <v>0</v>
      </c>
      <c r="H13" s="111">
        <v>0</v>
      </c>
      <c r="I13" s="208">
        <v>0</v>
      </c>
    </row>
    <row r="14" spans="1:9" x14ac:dyDescent="0.35">
      <c r="A14" s="92" t="s">
        <v>49</v>
      </c>
      <c r="B14" s="67">
        <f>SUM(B3:B13)</f>
        <v>573</v>
      </c>
      <c r="C14" s="67">
        <f>SUM(C3:C13)</f>
        <v>1068362</v>
      </c>
      <c r="D14" s="67">
        <f>SUM(D3:D13)</f>
        <v>6188886</v>
      </c>
      <c r="E14" s="68">
        <f>C14/B14</f>
        <v>1864.5061082024433</v>
      </c>
      <c r="F14" s="68">
        <f>D14/B14</f>
        <v>10800.848167539267</v>
      </c>
      <c r="G14" s="69">
        <f>C14/D14</f>
        <v>0.17262589745553561</v>
      </c>
      <c r="H14" s="93">
        <f>SUM(H3:H13)</f>
        <v>1</v>
      </c>
      <c r="I14" s="82"/>
    </row>
    <row r="15" spans="1:9" x14ac:dyDescent="0.35">
      <c r="H15" s="84"/>
      <c r="I15" s="82"/>
    </row>
    <row r="16" spans="1:9" ht="26" customHeight="1" x14ac:dyDescent="0.35">
      <c r="A16" s="115"/>
      <c r="B16" s="38"/>
      <c r="C16" s="38"/>
      <c r="D16" s="38"/>
      <c r="E16" s="38"/>
      <c r="F16" s="38"/>
      <c r="G16" s="38"/>
      <c r="H16" s="141"/>
      <c r="I16" s="83"/>
    </row>
    <row r="17" spans="1:9" ht="35.5" customHeight="1" x14ac:dyDescent="0.35">
      <c r="A17" s="43" t="s">
        <v>5</v>
      </c>
      <c r="B17" s="43" t="s">
        <v>107</v>
      </c>
      <c r="C17" s="116"/>
      <c r="D17" s="116"/>
      <c r="E17" s="116"/>
      <c r="F17" s="116"/>
      <c r="G17" s="117"/>
      <c r="H17" s="138"/>
      <c r="I17" s="83"/>
    </row>
    <row r="18" spans="1:9" x14ac:dyDescent="0.35">
      <c r="A18" s="50" t="s">
        <v>17</v>
      </c>
      <c r="B18" s="147">
        <v>0.18149999999999999</v>
      </c>
      <c r="C18" s="119"/>
      <c r="D18" s="118"/>
      <c r="E18" s="119"/>
      <c r="F18" s="120"/>
      <c r="G18" s="121"/>
      <c r="H18" s="139"/>
      <c r="I18" s="83"/>
    </row>
    <row r="19" spans="1:9" x14ac:dyDescent="0.35">
      <c r="A19" s="50" t="s">
        <v>21</v>
      </c>
      <c r="B19" s="147">
        <v>0.154</v>
      </c>
      <c r="C19" s="119"/>
      <c r="D19" s="118"/>
      <c r="E19" s="119"/>
      <c r="F19" s="119"/>
      <c r="G19" s="121"/>
      <c r="H19" s="139"/>
      <c r="I19" s="83"/>
    </row>
    <row r="20" spans="1:9" x14ac:dyDescent="0.35">
      <c r="A20" s="50" t="s">
        <v>22</v>
      </c>
      <c r="B20" s="147">
        <v>5.0099999999999999E-2</v>
      </c>
      <c r="C20" s="122"/>
      <c r="D20" s="118"/>
      <c r="E20" s="122"/>
      <c r="F20" s="122"/>
      <c r="G20" s="121"/>
      <c r="H20" s="139"/>
      <c r="I20" s="83"/>
    </row>
    <row r="21" spans="1:9" x14ac:dyDescent="0.35">
      <c r="A21" s="50" t="s">
        <v>18</v>
      </c>
      <c r="B21" s="147">
        <v>0.14610000000000001</v>
      </c>
      <c r="C21" s="122"/>
      <c r="D21" s="118"/>
      <c r="E21" s="122"/>
      <c r="F21" s="122"/>
      <c r="G21" s="121"/>
      <c r="H21" s="139"/>
      <c r="I21" s="83"/>
    </row>
    <row r="22" spans="1:9" x14ac:dyDescent="0.35">
      <c r="A22" s="50" t="s">
        <v>20</v>
      </c>
      <c r="B22" s="147">
        <v>2.7799999999999998E-2</v>
      </c>
      <c r="C22" s="123"/>
      <c r="D22" s="118"/>
      <c r="E22" s="123"/>
      <c r="F22" s="123"/>
      <c r="G22" s="121"/>
      <c r="H22" s="139"/>
      <c r="I22" s="83"/>
    </row>
    <row r="23" spans="1:9" x14ac:dyDescent="0.35">
      <c r="A23" s="50" t="s">
        <v>16</v>
      </c>
      <c r="B23" s="147">
        <v>2.7199999999999998E-2</v>
      </c>
      <c r="C23" s="125"/>
      <c r="D23" s="124"/>
      <c r="E23" s="125"/>
      <c r="F23" s="126"/>
      <c r="G23" s="124"/>
      <c r="H23" s="140"/>
      <c r="I23" s="83"/>
    </row>
    <row r="24" spans="1:9" x14ac:dyDescent="0.35">
      <c r="A24" s="50" t="s">
        <v>29</v>
      </c>
      <c r="B24" s="147">
        <v>0.14710000000000001</v>
      </c>
      <c r="C24" s="38"/>
      <c r="D24" s="38"/>
      <c r="E24" s="38"/>
      <c r="F24" s="38"/>
      <c r="G24" s="38"/>
      <c r="H24" s="84"/>
      <c r="I24" s="83"/>
    </row>
    <row r="25" spans="1:9" ht="26" customHeight="1" x14ac:dyDescent="0.35">
      <c r="A25" s="50" t="s">
        <v>19</v>
      </c>
      <c r="B25" s="147">
        <v>1.9300000000000001E-2</v>
      </c>
      <c r="C25" s="38"/>
      <c r="D25" s="38"/>
      <c r="E25" s="38"/>
      <c r="F25" s="38"/>
      <c r="G25" s="38"/>
      <c r="H25" s="38"/>
    </row>
    <row r="26" spans="1:9" x14ac:dyDescent="0.35">
      <c r="A26" s="50" t="s">
        <v>23</v>
      </c>
      <c r="B26" s="147">
        <v>2.23E-2</v>
      </c>
      <c r="C26" s="116"/>
      <c r="D26" s="116"/>
      <c r="E26" s="117"/>
      <c r="F26" s="117"/>
      <c r="G26" s="117"/>
      <c r="H26" s="142"/>
    </row>
    <row r="27" spans="1:9" ht="48" customHeight="1" x14ac:dyDescent="0.35">
      <c r="A27" s="50" t="s">
        <v>38</v>
      </c>
      <c r="B27" s="147">
        <v>0.22770000000000001</v>
      </c>
      <c r="C27" s="127"/>
      <c r="D27" s="127"/>
      <c r="E27" s="118"/>
      <c r="F27" s="118"/>
      <c r="G27" s="118"/>
      <c r="H27" s="143"/>
    </row>
    <row r="28" spans="1:9" ht="48" customHeight="1" x14ac:dyDescent="0.35">
      <c r="A28" s="50" t="s">
        <v>103</v>
      </c>
      <c r="B28" s="148">
        <v>0</v>
      </c>
      <c r="C28" s="128"/>
      <c r="D28" s="128"/>
      <c r="E28" s="129"/>
      <c r="F28" s="129"/>
      <c r="G28" s="129"/>
      <c r="H28" s="144"/>
      <c r="I28" s="70"/>
    </row>
    <row r="29" spans="1:9" ht="48" customHeight="1" x14ac:dyDescent="0.35">
      <c r="A29" s="149"/>
      <c r="B29" s="150"/>
      <c r="C29" s="132"/>
      <c r="D29" s="132"/>
      <c r="E29" s="74"/>
      <c r="F29" s="74"/>
      <c r="G29" s="75"/>
      <c r="H29" s="76"/>
    </row>
    <row r="30" spans="1:9" ht="48" customHeight="1" x14ac:dyDescent="0.35">
      <c r="A30" s="130"/>
      <c r="B30" s="131"/>
      <c r="C30" s="132"/>
      <c r="D30" s="132"/>
      <c r="E30" s="74"/>
      <c r="F30" s="74"/>
      <c r="G30" s="75"/>
      <c r="H30" s="76"/>
    </row>
    <row r="31" spans="1:9" ht="48" customHeight="1" x14ac:dyDescent="0.35">
      <c r="A31" s="130"/>
      <c r="B31" s="131"/>
      <c r="C31" s="132"/>
      <c r="D31" s="132"/>
      <c r="E31" s="74"/>
      <c r="F31" s="74"/>
      <c r="G31" s="75"/>
      <c r="H31" s="76"/>
    </row>
    <row r="32" spans="1:9" ht="48" customHeight="1" x14ac:dyDescent="0.35">
      <c r="A32" s="130"/>
      <c r="B32" s="131"/>
      <c r="C32" s="132"/>
      <c r="D32" s="132"/>
      <c r="E32" s="74"/>
      <c r="F32" s="74"/>
      <c r="G32" s="75"/>
      <c r="H32" s="76"/>
    </row>
    <row r="33" spans="1:8" ht="48" customHeight="1" x14ac:dyDescent="0.35">
      <c r="A33" s="133"/>
      <c r="B33" s="134"/>
      <c r="C33" s="135"/>
      <c r="D33" s="135"/>
      <c r="E33" s="136"/>
      <c r="F33" s="136"/>
      <c r="G33" s="137"/>
      <c r="H33" s="145"/>
    </row>
    <row r="34" spans="1:8" x14ac:dyDescent="0.35">
      <c r="A34" s="94"/>
      <c r="B34" s="95"/>
      <c r="C34" s="96"/>
      <c r="D34" s="96"/>
      <c r="E34" s="97"/>
      <c r="F34" s="97"/>
      <c r="G34" s="98"/>
      <c r="H34" s="99"/>
    </row>
    <row r="35" spans="1:8" x14ac:dyDescent="0.35">
      <c r="A35" s="71"/>
      <c r="B35" s="72"/>
      <c r="C35" s="73"/>
      <c r="D35" s="73"/>
      <c r="E35" s="74"/>
      <c r="F35" s="74"/>
      <c r="G35" s="75"/>
      <c r="H35" s="76"/>
    </row>
    <row r="36" spans="1:8" x14ac:dyDescent="0.35">
      <c r="A36" s="71"/>
      <c r="B36" s="72"/>
      <c r="C36" s="73"/>
      <c r="D36" s="73"/>
      <c r="E36" s="74"/>
      <c r="F36" s="74"/>
      <c r="G36" s="75"/>
      <c r="H36" s="76"/>
    </row>
    <row r="37" spans="1:8" x14ac:dyDescent="0.35">
      <c r="A37" s="71"/>
      <c r="B37" s="72"/>
      <c r="C37" s="73"/>
      <c r="D37" s="73"/>
      <c r="E37" s="74"/>
      <c r="F37" s="74"/>
      <c r="G37" s="75"/>
      <c r="H37" s="76"/>
    </row>
    <row r="38" spans="1:8" x14ac:dyDescent="0.35">
      <c r="A38" s="71"/>
      <c r="B38" s="72"/>
      <c r="C38" s="73"/>
      <c r="D38" s="73"/>
      <c r="E38" s="74"/>
      <c r="F38" s="74"/>
      <c r="G38" s="75"/>
      <c r="H38" s="76"/>
    </row>
    <row r="39" spans="1:8" x14ac:dyDescent="0.35">
      <c r="A39" s="71"/>
      <c r="B39" s="72"/>
      <c r="C39" s="73"/>
      <c r="D39" s="73"/>
      <c r="E39" s="74"/>
      <c r="F39" s="74"/>
      <c r="G39" s="75"/>
      <c r="H39" s="76"/>
    </row>
    <row r="40" spans="1:8" x14ac:dyDescent="0.35">
      <c r="A40" s="77"/>
      <c r="B40" s="78"/>
      <c r="C40" s="78"/>
      <c r="D40" s="78"/>
      <c r="E40" s="79"/>
      <c r="F40" s="79"/>
      <c r="G40" s="80"/>
      <c r="H40" s="81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A63A-A430-469D-A4E8-829EC2C50A0F}">
  <sheetPr>
    <tabColor theme="5" tint="-0.249977111117893"/>
  </sheetPr>
  <dimension ref="A2:F14"/>
  <sheetViews>
    <sheetView workbookViewId="0">
      <selection activeCell="G13" sqref="G13"/>
    </sheetView>
  </sheetViews>
  <sheetFormatPr defaultRowHeight="14.5" x14ac:dyDescent="0.35"/>
  <cols>
    <col min="1" max="1" width="21.6328125" customWidth="1"/>
    <col min="2" max="2" width="20.6328125" customWidth="1"/>
    <col min="3" max="3" width="11.36328125" customWidth="1"/>
    <col min="4" max="4" width="12.6328125" customWidth="1"/>
    <col min="5" max="5" width="19.1796875" customWidth="1"/>
    <col min="6" max="6" width="23" customWidth="1"/>
  </cols>
  <sheetData>
    <row r="2" spans="1:6" x14ac:dyDescent="0.35">
      <c r="A2" s="223" t="s">
        <v>139</v>
      </c>
      <c r="B2" s="223"/>
      <c r="C2" s="223"/>
      <c r="D2" s="223"/>
      <c r="E2" s="223"/>
      <c r="F2" s="223"/>
    </row>
    <row r="3" spans="1:6" x14ac:dyDescent="0.35">
      <c r="A3" s="168" t="s">
        <v>121</v>
      </c>
      <c r="B3" s="168" t="s">
        <v>46</v>
      </c>
      <c r="C3" s="168" t="s">
        <v>63</v>
      </c>
      <c r="D3" s="168" t="s">
        <v>47</v>
      </c>
      <c r="E3" s="168" t="s">
        <v>138</v>
      </c>
    </row>
    <row r="4" spans="1:6" x14ac:dyDescent="0.35">
      <c r="A4" s="200" t="s">
        <v>21</v>
      </c>
      <c r="B4" s="180">
        <f>IFERROR(VLOOKUP(A4,'Pillar Analysis'!$A:$B,2,0),0)</f>
        <v>8</v>
      </c>
      <c r="C4" s="180">
        <f>IFERROR(VLOOKUP(A4,'Pillar Analysis'!$A:$C,3,0),0)</f>
        <v>150829</v>
      </c>
      <c r="D4" s="201">
        <f t="shared" ref="D4:D14" si="0">IFERROR(C4/B4,0)</f>
        <v>18853.625</v>
      </c>
      <c r="E4" s="202">
        <f>IFERROR(VLOOKUP(A4,'Pillar Analysis'!$A:$G,7,0),0)</f>
        <v>0.15403005255213853</v>
      </c>
    </row>
    <row r="5" spans="1:6" x14ac:dyDescent="0.35">
      <c r="A5" s="181" t="s">
        <v>17</v>
      </c>
      <c r="B5" s="182">
        <f>IFERROR(VLOOKUP(A5,'Pillar Analysis'!$A:$B,2,0),0)</f>
        <v>202</v>
      </c>
      <c r="C5" s="182">
        <f>IFERROR(VLOOKUP(A5,'Pillar Analysis'!$A:$C,3,0),0)</f>
        <v>893797</v>
      </c>
      <c r="D5" s="183">
        <f t="shared" si="0"/>
        <v>4424.7376237623766</v>
      </c>
      <c r="E5" s="203">
        <f>IFERROR(VLOOKUP(A5,'Pillar Analysis'!$A:$G,7,0),0)</f>
        <v>0.18155044765193221</v>
      </c>
    </row>
    <row r="6" spans="1:6" x14ac:dyDescent="0.35">
      <c r="A6" s="177" t="s">
        <v>22</v>
      </c>
      <c r="B6" s="178">
        <f>IFERROR(VLOOKUP(A6,'Pillar Analysis'!$A:$B,2,0),0)</f>
        <v>15</v>
      </c>
      <c r="C6" s="178">
        <f>IFERROR(VLOOKUP(A6,'Pillar Analysis'!$A:$C,3,0),0)</f>
        <v>8235</v>
      </c>
      <c r="D6" s="179">
        <f t="shared" si="0"/>
        <v>549</v>
      </c>
      <c r="E6" s="204">
        <f>IFERROR(VLOOKUP(A6,'Pillar Analysis'!$A:$G,7,0),0)</f>
        <v>5.0052574957301844E-2</v>
      </c>
    </row>
    <row r="7" spans="1:6" x14ac:dyDescent="0.35">
      <c r="A7" s="181" t="s">
        <v>18</v>
      </c>
      <c r="B7" s="182">
        <f>IFERROR(VLOOKUP(A7,'Pillar Analysis'!$A:$B,2,0),0)</f>
        <v>186</v>
      </c>
      <c r="C7" s="182">
        <f>IFERROR(VLOOKUP(A7,'Pillar Analysis'!$A:$C,3,0),0)</f>
        <v>14939</v>
      </c>
      <c r="D7" s="183">
        <f t="shared" si="0"/>
        <v>80.317204301075265</v>
      </c>
      <c r="E7" s="203">
        <f>IFERROR(VLOOKUP(A7,'Pillar Analysis'!$A:$G,7,0),0)</f>
        <v>0.14613842015162631</v>
      </c>
    </row>
    <row r="8" spans="1:6" x14ac:dyDescent="0.35">
      <c r="A8" s="177" t="s">
        <v>38</v>
      </c>
      <c r="B8" s="178">
        <f>IFERROR(VLOOKUP(A8,'Pillar Analysis'!$A:$B,2,0),0)</f>
        <v>3</v>
      </c>
      <c r="C8" s="178">
        <f>IFERROR(VLOOKUP(A8,'Pillar Analysis'!$A:$C,3,0),0)</f>
        <v>23</v>
      </c>
      <c r="D8" s="179">
        <f t="shared" si="0"/>
        <v>7.666666666666667</v>
      </c>
      <c r="E8" s="204">
        <f>IFERROR(VLOOKUP(A8,'Pillar Analysis'!$A:$G,7,0),0)</f>
        <v>0.22772277227722773</v>
      </c>
    </row>
    <row r="9" spans="1:6" x14ac:dyDescent="0.35">
      <c r="A9" s="181" t="s">
        <v>16</v>
      </c>
      <c r="B9" s="182">
        <f>IFERROR(VLOOKUP(A9,'Pillar Analysis'!$A:$B,2,0),0)</f>
        <v>39</v>
      </c>
      <c r="C9" s="182">
        <f>IFERROR(VLOOKUP(A9,'Pillar Analysis'!$A:$C,3,0),0)</f>
        <v>156</v>
      </c>
      <c r="D9" s="183">
        <f t="shared" si="0"/>
        <v>4</v>
      </c>
      <c r="E9" s="203">
        <f>IFERROR(VLOOKUP(A9,'Pillar Analysis'!$A:$G,7,0),0)</f>
        <v>2.7239392352016764E-2</v>
      </c>
    </row>
    <row r="10" spans="1:6" x14ac:dyDescent="0.35">
      <c r="A10" s="177" t="s">
        <v>20</v>
      </c>
      <c r="B10" s="178">
        <f>IFERROR(VLOOKUP(A10,'Pillar Analysis'!$A:$B,2,0),0)</f>
        <v>66</v>
      </c>
      <c r="C10" s="178">
        <f>IFERROR(VLOOKUP(A10,'Pillar Analysis'!$A:$C,3,0),0)</f>
        <v>233</v>
      </c>
      <c r="D10" s="179">
        <f t="shared" si="0"/>
        <v>3.5303030303030303</v>
      </c>
      <c r="E10" s="204">
        <f>IFERROR(VLOOKUP(A10,'Pillar Analysis'!$A:$G,7,0),0)</f>
        <v>2.7810933396992123E-2</v>
      </c>
    </row>
    <row r="11" spans="1:6" x14ac:dyDescent="0.35">
      <c r="A11" s="181" t="s">
        <v>29</v>
      </c>
      <c r="B11" s="182">
        <f>IFERROR(VLOOKUP(A11,'Pillar Analysis'!$A:$B,2,0),0)</f>
        <v>12</v>
      </c>
      <c r="C11" s="182">
        <f>IFERROR(VLOOKUP(A11,'Pillar Analysis'!$A:$C,3,0),0)</f>
        <v>40</v>
      </c>
      <c r="D11" s="183">
        <f t="shared" si="0"/>
        <v>3.3333333333333335</v>
      </c>
      <c r="E11" s="203">
        <f>IFERROR(VLOOKUP(A11,'Pillar Analysis'!$A:$G,7,0),0)</f>
        <v>0.14705882352941177</v>
      </c>
    </row>
    <row r="12" spans="1:6" x14ac:dyDescent="0.35">
      <c r="A12" s="177" t="s">
        <v>123</v>
      </c>
      <c r="B12" s="178">
        <f>IFERROR(VLOOKUP(A12,'Pillar Analysis'!$A:$B,2,0),0)</f>
        <v>0</v>
      </c>
      <c r="C12" s="178">
        <f>IFERROR(VLOOKUP(A12,'Pillar Analysis'!$A:$C,3,0),0)</f>
        <v>0</v>
      </c>
      <c r="D12" s="179">
        <f t="shared" si="0"/>
        <v>0</v>
      </c>
      <c r="E12" s="204">
        <f>IFERROR(VLOOKUP(A12,'Pillar Analysis'!$A:$G,7,0),0)</f>
        <v>0</v>
      </c>
    </row>
    <row r="13" spans="1:6" x14ac:dyDescent="0.35">
      <c r="A13" s="181" t="s">
        <v>103</v>
      </c>
      <c r="B13" s="182">
        <f>IFERROR(VLOOKUP(A13,'Pillar Analysis'!$A:$B,2,0),0)</f>
        <v>0</v>
      </c>
      <c r="C13" s="182">
        <f>IFERROR(VLOOKUP(A13,'Pillar Analysis'!$A:$C,3,0),0)</f>
        <v>0</v>
      </c>
      <c r="D13" s="183">
        <f t="shared" si="0"/>
        <v>0</v>
      </c>
      <c r="E13" s="203">
        <f>IFERROR(VLOOKUP(A13,'Pillar Analysis'!$A:$G,7,0),0)</f>
        <v>0</v>
      </c>
    </row>
    <row r="14" spans="1:6" x14ac:dyDescent="0.35">
      <c r="A14" s="177" t="s">
        <v>23</v>
      </c>
      <c r="B14" s="178" cm="1">
        <f t="array" ref="B14">IFERROR(VLOOKUP(A14,'Pillar Analysis'!$A:$B,2,0),'Pillar Analysis'!$A:$B)</f>
        <v>21</v>
      </c>
      <c r="C14" s="178">
        <f>IFERROR(VLOOKUP(A14,'Pillar Analysis'!$A:$C,3,0),0)</f>
        <v>56</v>
      </c>
      <c r="D14" s="179">
        <f t="shared" si="0"/>
        <v>2.6666666666666665</v>
      </c>
      <c r="E14" s="204">
        <f>IFERROR(VLOOKUP(A14,'Pillar Analysis'!$A:$G,7,0),0)</f>
        <v>2.2355289421157686E-2</v>
      </c>
    </row>
  </sheetData>
  <mergeCells count="1"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3253-6E46-4700-8938-6A97E5C3CBA8}">
  <sheetPr>
    <tabColor rgb="FF7030A0"/>
  </sheetPr>
  <dimension ref="A1:G14"/>
  <sheetViews>
    <sheetView workbookViewId="0">
      <pane ySplit="2" topLeftCell="A3" activePane="bottomLeft" state="frozen"/>
      <selection pane="bottomLeft" activeCell="D5" sqref="D5"/>
    </sheetView>
  </sheetViews>
  <sheetFormatPr defaultRowHeight="14.5" x14ac:dyDescent="0.35"/>
  <cols>
    <col min="1" max="1" width="28.1796875" customWidth="1"/>
    <col min="2" max="2" width="5.36328125" bestFit="1" customWidth="1"/>
    <col min="3" max="3" width="15.36328125" customWidth="1"/>
    <col min="4" max="4" width="15" customWidth="1"/>
    <col min="5" max="5" width="9.54296875" bestFit="1" customWidth="1"/>
    <col min="6" max="6" width="18.1796875" customWidth="1"/>
  </cols>
  <sheetData>
    <row r="1" spans="1:7" ht="28" customHeight="1" x14ac:dyDescent="0.4">
      <c r="A1" s="155" t="s">
        <v>120</v>
      </c>
      <c r="B1" s="156"/>
      <c r="C1" s="156"/>
      <c r="D1" s="156"/>
      <c r="E1" s="156"/>
      <c r="F1" s="156"/>
      <c r="G1" s="167"/>
    </row>
    <row r="2" spans="1:7" ht="22" customHeight="1" x14ac:dyDescent="0.35">
      <c r="A2" s="85" t="s">
        <v>121</v>
      </c>
      <c r="B2" s="86" t="s">
        <v>46</v>
      </c>
      <c r="C2" s="86" t="s">
        <v>63</v>
      </c>
      <c r="D2" s="86" t="s">
        <v>47</v>
      </c>
      <c r="E2" s="86" t="s">
        <v>104</v>
      </c>
      <c r="F2" s="87" t="s">
        <v>122</v>
      </c>
      <c r="G2" s="167"/>
    </row>
    <row r="3" spans="1:7" x14ac:dyDescent="0.35">
      <c r="A3" s="158" t="s">
        <v>21</v>
      </c>
      <c r="B3" s="61">
        <f>IFERROR(VLOOKUP(A3,'Pillar Analysis'!$A$3:$D$13,2,0),0)</f>
        <v>8</v>
      </c>
      <c r="C3" s="61">
        <f>IFERROR(VLOOKUP(A3,'Pillar Analysis'!$A$3:$D$13,3,0),0)</f>
        <v>150829</v>
      </c>
      <c r="D3" s="159">
        <f t="shared" ref="D3:D14" si="0">IF(B3=0,0,C3/B3)</f>
        <v>18853.625</v>
      </c>
      <c r="E3" s="63">
        <f>IFERROR(VLOOKUP(A3,'Pillar Analysis'!$A$3:$G$13,7,0),0)</f>
        <v>0.15403005255213853</v>
      </c>
      <c r="F3" s="160" t="str">
        <f t="shared" ref="F3:F13" si="1">IF(B3=0,"✘ Weak",IF(E3&gt;=AVERAGE($E$3:$E$13),"✔ Strong","✘ Weak"))</f>
        <v>✔ Strong</v>
      </c>
    </row>
    <row r="4" spans="1:7" x14ac:dyDescent="0.35">
      <c r="A4" s="161" t="s">
        <v>17</v>
      </c>
      <c r="B4" s="64">
        <f>IFERROR(VLOOKUP(A4,'Pillar Analysis'!$A$3:$D$13,2,0),0)</f>
        <v>202</v>
      </c>
      <c r="C4" s="64">
        <f>IFERROR(VLOOKUP(A4,'Pillar Analysis'!$A$3:$D$13,3,0),0)</f>
        <v>893797</v>
      </c>
      <c r="D4" s="162">
        <f t="shared" si="0"/>
        <v>4424.7376237623766</v>
      </c>
      <c r="E4" s="66">
        <f>IFERROR(VLOOKUP(A4,'Pillar Analysis'!$A$3:$G$13,7,0),0)</f>
        <v>0.18155044765193221</v>
      </c>
      <c r="F4" s="163" t="str">
        <f t="shared" si="1"/>
        <v>✔ Strong</v>
      </c>
    </row>
    <row r="5" spans="1:7" x14ac:dyDescent="0.35">
      <c r="A5" s="158" t="s">
        <v>22</v>
      </c>
      <c r="B5" s="61">
        <f>IFERROR(VLOOKUP(A5,'Pillar Analysis'!$A$3:$D$13,2,0),0)</f>
        <v>15</v>
      </c>
      <c r="C5" s="64">
        <f>IFERROR(VLOOKUP(A5,'Pillar Analysis'!$A$3:$D$13,3,0),0)</f>
        <v>8235</v>
      </c>
      <c r="D5" s="159">
        <f t="shared" si="0"/>
        <v>549</v>
      </c>
      <c r="E5" s="63">
        <f>IFERROR(VLOOKUP(A5,'Pillar Analysis'!$A$3:$G$13,7,0),0)</f>
        <v>5.0052574957301844E-2</v>
      </c>
      <c r="F5" s="160" t="str">
        <f t="shared" si="1"/>
        <v>✘ Weak</v>
      </c>
    </row>
    <row r="6" spans="1:7" x14ac:dyDescent="0.35">
      <c r="A6" s="161" t="s">
        <v>18</v>
      </c>
      <c r="B6" s="64">
        <f>IFERROR(VLOOKUP(A6,'Pillar Analysis'!$A$3:$D$13,2,0),0)</f>
        <v>186</v>
      </c>
      <c r="C6" s="64">
        <f>IFERROR(VLOOKUP(A6,'Pillar Analysis'!$A$3:$D$13,3,0),0)</f>
        <v>14939</v>
      </c>
      <c r="D6" s="162">
        <f t="shared" si="0"/>
        <v>80.317204301075265</v>
      </c>
      <c r="E6" s="66">
        <f>IFERROR(VLOOKUP(A6,'Pillar Analysis'!$A$3:$G$13,7,0),0)</f>
        <v>0.14613842015162631</v>
      </c>
      <c r="F6" s="163" t="str">
        <f t="shared" si="1"/>
        <v>✔ Strong</v>
      </c>
    </row>
    <row r="7" spans="1:7" x14ac:dyDescent="0.35">
      <c r="A7" s="158" t="s">
        <v>38</v>
      </c>
      <c r="B7" s="61">
        <f>IFERROR(VLOOKUP(A7,'Pillar Analysis'!$A$3:$D$13,2,0),0)</f>
        <v>3</v>
      </c>
      <c r="C7" s="61">
        <f>IFERROR(VLOOKUP(A7,'Pillar Analysis'!$A$3:$D$13,3,0),0)</f>
        <v>23</v>
      </c>
      <c r="D7" s="159">
        <f t="shared" si="0"/>
        <v>7.666666666666667</v>
      </c>
      <c r="E7" s="63">
        <f>IFERROR(VLOOKUP(A7,'Pillar Analysis'!$A$3:$G$13,7,0),0)</f>
        <v>0.22772277227722773</v>
      </c>
      <c r="F7" s="160" t="str">
        <f t="shared" si="1"/>
        <v>✔ Strong</v>
      </c>
    </row>
    <row r="8" spans="1:7" x14ac:dyDescent="0.35">
      <c r="A8" s="161" t="s">
        <v>16</v>
      </c>
      <c r="B8" s="64">
        <f>IFERROR(VLOOKUP(A8,'Pillar Analysis'!$A$3:$D$13,2,0),0)</f>
        <v>39</v>
      </c>
      <c r="C8" s="64">
        <f>IFERROR(VLOOKUP(A8,'Pillar Analysis'!$A$3:$D$13,3,0),0)</f>
        <v>156</v>
      </c>
      <c r="D8" s="162">
        <f t="shared" si="0"/>
        <v>4</v>
      </c>
      <c r="E8" s="66">
        <f>IFERROR(VLOOKUP(A8,'Pillar Analysis'!$A$3:$G$13,7,0),0)</f>
        <v>2.7239392352016764E-2</v>
      </c>
      <c r="F8" s="163" t="str">
        <f t="shared" si="1"/>
        <v>✘ Weak</v>
      </c>
    </row>
    <row r="9" spans="1:7" x14ac:dyDescent="0.35">
      <c r="A9" s="158" t="s">
        <v>20</v>
      </c>
      <c r="B9" s="61">
        <f>IFERROR(VLOOKUP(A9,'Pillar Analysis'!$A$3:$D$13,2,0),0)</f>
        <v>66</v>
      </c>
      <c r="C9" s="61">
        <f>IFERROR(VLOOKUP(A9,'Pillar Analysis'!$A$3:$D$13,3,0),0)</f>
        <v>233</v>
      </c>
      <c r="D9" s="159">
        <f t="shared" si="0"/>
        <v>3.5303030303030303</v>
      </c>
      <c r="E9" s="63">
        <f>IFERROR(VLOOKUP(A9,'Pillar Analysis'!$A$3:$G$13,7,0),0)</f>
        <v>2.7810933396992123E-2</v>
      </c>
      <c r="F9" s="160" t="str">
        <f t="shared" si="1"/>
        <v>✘ Weak</v>
      </c>
    </row>
    <row r="10" spans="1:7" x14ac:dyDescent="0.35">
      <c r="A10" s="161" t="s">
        <v>29</v>
      </c>
      <c r="B10" s="64">
        <f>IFERROR(VLOOKUP(A10,'Pillar Analysis'!$A$3:$D$13,2,0),0)</f>
        <v>12</v>
      </c>
      <c r="C10" s="64">
        <f>IFERROR(VLOOKUP(A10,'Pillar Analysis'!$A$3:$D$13,3,0),0)</f>
        <v>40</v>
      </c>
      <c r="D10" s="162">
        <f t="shared" si="0"/>
        <v>3.3333333333333335</v>
      </c>
      <c r="E10" s="66">
        <f>IFERROR(VLOOKUP(A10,'Pillar Analysis'!$A$3:$G$13,7,0),0)</f>
        <v>0.14705882352941177</v>
      </c>
      <c r="F10" s="163" t="str">
        <f t="shared" si="1"/>
        <v>✔ Strong</v>
      </c>
    </row>
    <row r="11" spans="1:7" x14ac:dyDescent="0.35">
      <c r="A11" s="158" t="s">
        <v>123</v>
      </c>
      <c r="B11" s="61">
        <f>IFERROR(VLOOKUP(A11,'Pillar Analysis'!$A$3:$D$13,2,0),0)</f>
        <v>0</v>
      </c>
      <c r="C11" s="61">
        <f>IFERROR(VLOOKUP(A11,'Pillar Analysis'!$A$3:$D$13,3,0),0)</f>
        <v>0</v>
      </c>
      <c r="D11" s="159">
        <f t="shared" si="0"/>
        <v>0</v>
      </c>
      <c r="E11" s="63">
        <f>IFERROR(VLOOKUP(A11,'Pillar Analysis'!$A$3:$G$13,7,0),0)</f>
        <v>0</v>
      </c>
      <c r="F11" s="160" t="str">
        <f t="shared" si="1"/>
        <v>✘ Weak</v>
      </c>
    </row>
    <row r="12" spans="1:7" x14ac:dyDescent="0.35">
      <c r="A12" s="161" t="s">
        <v>103</v>
      </c>
      <c r="B12" s="64">
        <f>IFERROR(VLOOKUP(A12,'Pillar Analysis'!$A$3:$D$13,2,0),0)</f>
        <v>0</v>
      </c>
      <c r="C12" s="64">
        <f>IFERROR(VLOOKUP(A12,'Pillar Analysis'!$A$3:$D$13,3,0),0)</f>
        <v>0</v>
      </c>
      <c r="D12" s="162">
        <f t="shared" si="0"/>
        <v>0</v>
      </c>
      <c r="E12" s="66">
        <f>IFERROR(VLOOKUP(A12,'Pillar Analysis'!$A$3:$G$13,7,0),0)</f>
        <v>0</v>
      </c>
      <c r="F12" s="163" t="str">
        <f t="shared" si="1"/>
        <v>✘ Weak</v>
      </c>
    </row>
    <row r="13" spans="1:7" x14ac:dyDescent="0.35">
      <c r="A13" s="158" t="s">
        <v>23</v>
      </c>
      <c r="B13" s="61">
        <f>IFERROR(VLOOKUP(A13,'Pillar Analysis'!$A$3:$D$13,2,0),0)</f>
        <v>21</v>
      </c>
      <c r="C13" s="61">
        <f>IFERROR(VLOOKUP(A13,'Pillar Analysis'!$A$3:$D$13,3,0),0)</f>
        <v>56</v>
      </c>
      <c r="D13" s="159">
        <f t="shared" si="0"/>
        <v>2.6666666666666665</v>
      </c>
      <c r="E13" s="63">
        <f>IFERROR(VLOOKUP(A13,'Pillar Analysis'!$A$3:$G$13,7,0),0)</f>
        <v>2.2355289421157686E-2</v>
      </c>
      <c r="F13" s="160" t="str">
        <f t="shared" si="1"/>
        <v>✘ Weak</v>
      </c>
    </row>
    <row r="14" spans="1:7" x14ac:dyDescent="0.35">
      <c r="A14" s="164" t="s">
        <v>49</v>
      </c>
      <c r="B14" s="67">
        <f>SUM(B3:B13)</f>
        <v>552</v>
      </c>
      <c r="C14" s="67">
        <f>SUM(C3:C13)</f>
        <v>1068308</v>
      </c>
      <c r="D14" s="165">
        <f t="shared" si="0"/>
        <v>1935.340579710145</v>
      </c>
      <c r="E14" s="69">
        <f>IFERROR(C14/VLOOKUP("TOTAL",'Pillar Analysis'!$A$3:$D$14,4,0),AVERAGE(E3:E13))</f>
        <v>0.17261717213727965</v>
      </c>
      <c r="F14" s="166"/>
    </row>
  </sheetData>
  <conditionalFormatting sqref="F3:F13">
    <cfRule type="containsText" dxfId="1" priority="1" operator="containsText" text="Strong">
      <formula>NOT(ISERROR(SEARCH("Strong",F3)))</formula>
    </cfRule>
  </conditionalFormatting>
  <conditionalFormatting sqref="F3:F13">
    <cfRule type="containsText" dxfId="0" priority="2" operator="containsText" text="Weak">
      <formula>NOT(ISERROR(SEARCH("Weak",F3)))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4B43"/>
  </sheetPr>
  <dimension ref="A1:J21"/>
  <sheetViews>
    <sheetView zoomScaleNormal="100" workbookViewId="0">
      <selection activeCell="E12" sqref="E12"/>
    </sheetView>
  </sheetViews>
  <sheetFormatPr defaultColWidth="8.6328125" defaultRowHeight="14.5" x14ac:dyDescent="0.35"/>
  <cols>
    <col min="1" max="1" width="16.36328125" style="1" customWidth="1"/>
    <col min="2" max="8" width="18.1796875" style="1" customWidth="1"/>
    <col min="9" max="10" width="18.1796875" customWidth="1"/>
  </cols>
  <sheetData>
    <row r="1" spans="1:10" ht="24" customHeight="1" x14ac:dyDescent="0.4">
      <c r="A1" s="240" t="s">
        <v>67</v>
      </c>
      <c r="B1"/>
      <c r="C1"/>
      <c r="D1"/>
      <c r="E1"/>
      <c r="F1"/>
      <c r="G1"/>
      <c r="H1"/>
    </row>
    <row r="2" spans="1:10" x14ac:dyDescent="0.35">
      <c r="A2" s="250"/>
      <c r="B2" s="250"/>
      <c r="C2" s="250"/>
      <c r="D2" s="250"/>
      <c r="E2" s="250"/>
      <c r="F2" s="250"/>
      <c r="G2" s="250"/>
      <c r="H2" s="250"/>
      <c r="I2" s="250"/>
      <c r="J2" s="250"/>
    </row>
    <row r="3" spans="1:10" ht="28" customHeight="1" x14ac:dyDescent="0.35">
      <c r="A3" s="249" t="s">
        <v>3</v>
      </c>
      <c r="B3" s="249" t="s">
        <v>46</v>
      </c>
      <c r="C3" s="249" t="s">
        <v>63</v>
      </c>
      <c r="D3" s="249" t="s">
        <v>47</v>
      </c>
      <c r="E3" s="249" t="s">
        <v>64</v>
      </c>
      <c r="F3" s="249" t="s">
        <v>68</v>
      </c>
      <c r="G3" s="249" t="s">
        <v>8</v>
      </c>
      <c r="H3" s="249" t="s">
        <v>7</v>
      </c>
      <c r="I3" s="249" t="s">
        <v>48</v>
      </c>
      <c r="J3" s="249" t="s">
        <v>69</v>
      </c>
    </row>
    <row r="4" spans="1:10" ht="15" customHeight="1" x14ac:dyDescent="0.35">
      <c r="A4" s="241" t="s">
        <v>15</v>
      </c>
      <c r="B4" s="242">
        <f>COUNTIF('Cleaned Data'!D:D,"video")</f>
        <v>631</v>
      </c>
      <c r="C4" s="242">
        <f>SUMIF('Cleaned Data'!D:D,"video",'Cleaned Data'!H:H)</f>
        <v>1066499</v>
      </c>
      <c r="D4" s="243">
        <f>IFERROR(C4/B4,0)</f>
        <v>1690.1727416798733</v>
      </c>
      <c r="E4" s="242">
        <f>SUMIF('Cleaned Data'!D:D,"video",'Cleaned Data'!K:K)</f>
        <v>8981393</v>
      </c>
      <c r="F4" s="243">
        <f>IFERROR(SUMIF('Cleaned Data'!D:D,"video",'Cleaned Data'!L:L)/B4,0)</f>
        <v>9602.8019017432653</v>
      </c>
      <c r="G4" s="242">
        <f>SUMIF('Cleaned Data'!D:D,"video",'Cleaned Data'!J:J)</f>
        <v>774</v>
      </c>
      <c r="H4" s="242">
        <f>SUMIF('Cleaned Data'!D:D,"video",'Cleaned Data'!I:I)</f>
        <v>966</v>
      </c>
      <c r="I4" s="244">
        <f>IFERROR(C4/E4,0)</f>
        <v>0.11874538838240349</v>
      </c>
      <c r="J4" s="244">
        <f>IFERROR(B4/SUM(B4:B6),0)</f>
        <v>0.97376543209876543</v>
      </c>
    </row>
    <row r="5" spans="1:10" ht="15" customHeight="1" x14ac:dyDescent="0.35">
      <c r="A5" s="245" t="s">
        <v>102</v>
      </c>
      <c r="B5" s="246">
        <f>COUNTIF('Cleaned Data'!D:D,"album")</f>
        <v>15</v>
      </c>
      <c r="C5" s="246">
        <f>SUMIF('Cleaned Data'!D:D,"album",'Cleaned Data'!H:H)</f>
        <v>76</v>
      </c>
      <c r="D5" s="247">
        <f>IFERROR(C5/B5,0)</f>
        <v>5.0666666666666664</v>
      </c>
      <c r="E5" s="246">
        <f>SUMIF('Cleaned Data'!D:D,"album",'Cleaned Data'!K:K)</f>
        <v>5280</v>
      </c>
      <c r="F5" s="247">
        <f>IFERROR(SUMIF('Cleaned Data'!D:D,"album",'Cleaned Data'!L:L)/B5,0)</f>
        <v>283.33333333333331</v>
      </c>
      <c r="G5" s="246">
        <f>SUMIF('Cleaned Data'!D:D,"album",'Cleaned Data'!J:J)</f>
        <v>4</v>
      </c>
      <c r="H5" s="246">
        <f>SUMIF('Cleaned Data'!D:D,"album",'Cleaned Data'!I:I)</f>
        <v>45</v>
      </c>
      <c r="I5" s="248">
        <f>IFERROR(C5/E5,0)</f>
        <v>1.4393939393939395E-2</v>
      </c>
      <c r="J5" s="248">
        <f>IFERROR(B5/SUM(B4:B6),0)</f>
        <v>2.3148148148148147E-2</v>
      </c>
    </row>
    <row r="6" spans="1:10" ht="15" customHeight="1" x14ac:dyDescent="0.35">
      <c r="A6" s="251" t="s">
        <v>40</v>
      </c>
      <c r="B6" s="252">
        <f>COUNTIF('Cleaned Data'!D:D,"photo")</f>
        <v>2</v>
      </c>
      <c r="C6" s="252">
        <f>SUMIF('Cleaned Data'!D:D,"photo",'Cleaned Data'!H:H)</f>
        <v>2003</v>
      </c>
      <c r="D6" s="253">
        <f>IFERROR(C6/B6,0)</f>
        <v>1001.5</v>
      </c>
      <c r="E6" s="252">
        <f>SUMIF('Cleaned Data'!D:D,"photo",'Cleaned Data'!K:K)</f>
        <v>192806</v>
      </c>
      <c r="F6" s="253">
        <f>IFERROR(SUMIF('Cleaned Data'!D:D,"photo",'Cleaned Data'!L:L)/B6,0)</f>
        <v>64453</v>
      </c>
      <c r="G6" s="252">
        <f>SUMIF('Cleaned Data'!D:D,"photo",'Cleaned Data'!J:J)</f>
        <v>5</v>
      </c>
      <c r="H6" s="252">
        <f>SUMIF('Cleaned Data'!D:D,"photo",'Cleaned Data'!I:I)</f>
        <v>1</v>
      </c>
      <c r="I6" s="254">
        <f>IFERROR(C6/E6,0)</f>
        <v>1.0388680850181011E-2</v>
      </c>
      <c r="J6" s="254">
        <f>IFERROR(B6/SUM(B4:B6),0)</f>
        <v>3.0864197530864196E-3</v>
      </c>
    </row>
    <row r="7" spans="1:10" x14ac:dyDescent="0.35">
      <c r="A7" s="255"/>
      <c r="B7" s="255"/>
      <c r="C7" s="255"/>
      <c r="D7" s="255"/>
      <c r="E7" s="255"/>
      <c r="F7" s="255"/>
      <c r="G7" s="255"/>
      <c r="H7" s="255"/>
      <c r="I7" s="255"/>
      <c r="J7" s="255"/>
    </row>
    <row r="8" spans="1:10" x14ac:dyDescent="0.35">
      <c r="A8"/>
      <c r="B8"/>
      <c r="C8"/>
      <c r="D8"/>
      <c r="E8"/>
      <c r="F8"/>
      <c r="G8"/>
      <c r="H8"/>
    </row>
    <row r="9" spans="1:10" ht="15" customHeight="1" x14ac:dyDescent="0.35">
      <c r="A9" s="257" t="s">
        <v>70</v>
      </c>
      <c r="B9" s="250"/>
      <c r="C9" s="250"/>
      <c r="D9" s="250"/>
      <c r="E9"/>
      <c r="F9"/>
      <c r="G9"/>
      <c r="H9"/>
    </row>
    <row r="10" spans="1:10" ht="28" customHeight="1" x14ac:dyDescent="0.35">
      <c r="A10" s="249" t="s">
        <v>3</v>
      </c>
      <c r="B10" s="249" t="s">
        <v>13</v>
      </c>
      <c r="C10" s="249" t="s">
        <v>36</v>
      </c>
      <c r="D10" s="249" t="s">
        <v>61</v>
      </c>
      <c r="E10"/>
      <c r="F10"/>
      <c r="G10"/>
      <c r="H10"/>
    </row>
    <row r="11" spans="1:10" ht="15" customHeight="1" x14ac:dyDescent="0.35">
      <c r="A11" s="256" t="s">
        <v>15</v>
      </c>
      <c r="B11" s="247">
        <f>IFERROR(SUMIFS(DATA!$H:$H,DATA!$D:$D,"video",DATA!$B:$B,"Facebook")/COUNTIFS(DATA!$D:$D,"video",DATA!$B:$B,"Facebook"),0)</f>
        <v>3278.5353846153848</v>
      </c>
      <c r="C11" s="247">
        <f>IFERROR(SUMIFS(DATA!$H:$H,DATA!$D:$D,"video",DATA!$B:$B,"Instagram")/COUNTIFS(DATA!$D:$D,"video",DATA!$B:$B,"Instagram"),0)</f>
        <v>3.1862745098039214</v>
      </c>
      <c r="D11" s="247">
        <f>IFERROR(C4/B4,0)</f>
        <v>1690.1727416798733</v>
      </c>
      <c r="E11"/>
      <c r="F11"/>
      <c r="G11"/>
      <c r="H11"/>
    </row>
    <row r="12" spans="1:10" ht="15" customHeight="1" x14ac:dyDescent="0.35">
      <c r="A12" s="256" t="s">
        <v>102</v>
      </c>
      <c r="B12" s="243">
        <f>IFERROR(SUMIFS(DATA!$H:$H,DATA!$D:$D,"album",DATA!$B:$B,"Facebook")/COUNTIFS(DATA!$D:$D,"album",DATA!$B:$B,"Facebook"),0)</f>
        <v>3.625</v>
      </c>
      <c r="C12" s="243">
        <f>IFERROR(SUMIFS(DATA!$H:$H,DATA!$D:$D,"album",DATA!$B:$B,"Instagram")/COUNTIFS(DATA!$D:$D,"album",DATA!$B:$B,"Instagram"),0)</f>
        <v>6.7142857142857144</v>
      </c>
      <c r="D12" s="243">
        <f>IFERROR(C5/B5,0)</f>
        <v>5.0666666666666664</v>
      </c>
      <c r="E12"/>
      <c r="F12"/>
      <c r="G12"/>
      <c r="H12"/>
    </row>
    <row r="13" spans="1:10" ht="15" customHeight="1" x14ac:dyDescent="0.35">
      <c r="A13" s="258" t="s">
        <v>40</v>
      </c>
      <c r="B13" s="259">
        <f>IFERROR(SUMIFS(DATA!$H:$H,DATA!$D:$D,"photo",DATA!$B:$B,"Facebook")/COUNTIFS(DATA!$D:$D,"photo",DATA!$B:$B,"Facebook"),0)</f>
        <v>1001.5</v>
      </c>
      <c r="C13" s="259">
        <f>IFERROR(SUMIFS(DATA!$H:$H,DATA!$D:$D,"photo",DATA!$B:$B,"Instagram")/COUNTIFS(DATA!$D:$D,"photo",DATA!$B:$B,"Instagram"),0)</f>
        <v>0</v>
      </c>
      <c r="D13" s="259">
        <f>IFERROR(C6/B6,0)</f>
        <v>1001.5</v>
      </c>
      <c r="E13"/>
      <c r="F13"/>
      <c r="G13"/>
      <c r="H13"/>
    </row>
    <row r="14" spans="1:10" x14ac:dyDescent="0.35">
      <c r="A14" s="260"/>
      <c r="B14" s="260"/>
      <c r="C14" s="260"/>
      <c r="D14" s="260"/>
    </row>
    <row r="16" spans="1:10" ht="15.5" x14ac:dyDescent="0.35">
      <c r="A16" s="264" t="s">
        <v>248</v>
      </c>
      <c r="B16" s="265"/>
      <c r="C16" s="265"/>
      <c r="D16" s="265"/>
      <c r="E16" s="265"/>
      <c r="F16" s="265"/>
    </row>
    <row r="17" spans="1:6" ht="28" customHeight="1" x14ac:dyDescent="0.35">
      <c r="A17" s="249" t="s">
        <v>3</v>
      </c>
      <c r="B17" s="249" t="s">
        <v>12</v>
      </c>
      <c r="C17" s="249" t="s">
        <v>37</v>
      </c>
      <c r="D17" s="249" t="s">
        <v>39</v>
      </c>
      <c r="E17" s="249" t="s">
        <v>41</v>
      </c>
      <c r="F17" s="249" t="s">
        <v>42</v>
      </c>
    </row>
    <row r="18" spans="1:6" x14ac:dyDescent="0.35">
      <c r="A18" s="261" t="s">
        <v>15</v>
      </c>
      <c r="B18" s="262">
        <f>IFERROR(SUMIFS(DATA!$H:$H,DATA!$D:$D,"video",DATA!$A:$A,"*July*")/COUNTIFS(DATA!$D:$D,"video",DATA!$A:$A,"*July*"),0)</f>
        <v>767.65</v>
      </c>
      <c r="C18" s="262">
        <f>IFERROR(SUMIFS(DATA!$H:$H,DATA!$D:$D,"video",DATA!$A:$A,"*August*")/COUNTIFS(DATA!$D:$D,"video",DATA!$A:$A,"*August*"),0)</f>
        <v>1902.9363636363637</v>
      </c>
      <c r="D18" s="262">
        <f>IFERROR(SUMIFS(DATA!$H:$H,DATA!$D:$D,"video",DATA!$A:$A,"*September*")/COUNTIFS(DATA!$D:$D,"video",DATA!$A:$A,"*September*"),0)</f>
        <v>4963.4576271186443</v>
      </c>
      <c r="E18" s="262">
        <f>IFERROR(SUMIFS(DATA!$H:$H,DATA!$D:$D,"video",DATA!$A:$A,"*October*")/COUNTIFS(DATA!$D:$D,"video",DATA!$A:$A,"*October*"),0)</f>
        <v>3.3582089552238807</v>
      </c>
      <c r="F18" s="262">
        <f>IFERROR(SUMIFS(DATA!$H:$H,DATA!$D:$D,"video",DATA!$A:$A,"*November*")/COUNTIFS(DATA!$D:$D,"video",DATA!$A:$A,"*November*"),0)</f>
        <v>1267.9612403100775</v>
      </c>
    </row>
    <row r="19" spans="1:6" x14ac:dyDescent="0.35">
      <c r="A19" s="261" t="s">
        <v>102</v>
      </c>
      <c r="B19" s="263">
        <f>IFERROR(SUMIFS(DATA!$H:$H,DATA!$D:$D,"album",DATA!$A:$A,"*July*")/COUNTIFS(DATA!$D:$D,"album",DATA!$A:$A,"*July*"),0)</f>
        <v>4</v>
      </c>
      <c r="C19" s="263">
        <f>IFERROR(SUMIFS(DATA!$H:$H,DATA!$D:$D,"album",DATA!$A:$A,"*August*")/COUNTIFS(DATA!$D:$D,"album",DATA!$A:$A,"*August*"),0)</f>
        <v>6.333333333333333</v>
      </c>
      <c r="D19" s="263">
        <f>IFERROR(SUMIFS(DATA!$H:$H,DATA!$D:$D,"album",DATA!$A:$A,"*September*")/COUNTIFS(DATA!$D:$D,"album",DATA!$A:$A,"*September*"),0)</f>
        <v>4</v>
      </c>
      <c r="E19" s="263">
        <f>IFERROR(SUMIFS(DATA!$H:$H,DATA!$D:$D,"album",DATA!$A:$A,"*October*")/COUNTIFS(DATA!$D:$D,"album",DATA!$A:$A,"*October*"),0)</f>
        <v>0</v>
      </c>
      <c r="F19" s="263">
        <f>IFERROR(SUMIFS(DATA!$H:$H,DATA!$D:$D,"album",DATA!$A:$A,"*November*")/COUNTIFS(DATA!$D:$D,"album",DATA!$A:$A,"*November*"),0)</f>
        <v>5</v>
      </c>
    </row>
    <row r="20" spans="1:6" x14ac:dyDescent="0.35">
      <c r="A20" s="266" t="s">
        <v>40</v>
      </c>
      <c r="B20" s="267">
        <f>IFERROR(SUMIFS(DATA!$H:$H,DATA!$D:$D,"photo",DATA!$A:$A,"*July*")/COUNTIFS(DATA!$D:$D,"photo",DATA!$A:$A,"*July*"),0)</f>
        <v>0</v>
      </c>
      <c r="C20" s="267">
        <f>IFERROR(SUMIFS(DATA!$H:$H,DATA!$D:$D,"photo",DATA!$A:$A,"*August*")/COUNTIFS(DATA!$D:$D,"photo",DATA!$A:$A,"*August*"),0)</f>
        <v>0</v>
      </c>
      <c r="D20" s="267">
        <f>IFERROR(SUMIFS(DATA!$H:$H,DATA!$D:$D,"photo",DATA!$A:$A,"*September*")/COUNTIFS(DATA!$D:$D,"photo",DATA!$A:$A,"*September*"),0)</f>
        <v>0</v>
      </c>
      <c r="E20" s="267">
        <f>IFERROR(SUMIFS(DATA!$H:$H,DATA!$D:$D,"photo",DATA!$A:$A,"*October*")/COUNTIFS(DATA!$D:$D,"photo",DATA!$A:$A,"*October*"),0)</f>
        <v>0</v>
      </c>
      <c r="F20" s="267">
        <f>IFERROR(SUMIFS(DATA!$H:$H,DATA!$D:$D,"photo",DATA!$A:$A,"*November*")/COUNTIFS(DATA!$D:$D,"photo",DATA!$A:$A,"*November*"),0)</f>
        <v>2003</v>
      </c>
    </row>
    <row r="21" spans="1:6" x14ac:dyDescent="0.35">
      <c r="A21" s="260"/>
      <c r="B21" s="260"/>
      <c r="C21" s="260"/>
      <c r="D21" s="260"/>
      <c r="E21" s="260"/>
      <c r="F21" s="260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B5CF6"/>
  </sheetPr>
  <dimension ref="A1:M34"/>
  <sheetViews>
    <sheetView zoomScaleNormal="100" workbookViewId="0">
      <selection activeCell="B4" sqref="B4"/>
    </sheetView>
  </sheetViews>
  <sheetFormatPr defaultColWidth="8.6328125" defaultRowHeight="14.5" x14ac:dyDescent="0.35"/>
  <cols>
    <col min="1" max="1" width="20" style="1" customWidth="1"/>
    <col min="2" max="2" width="10" style="1" customWidth="1"/>
    <col min="3" max="3" width="16" style="1" customWidth="1"/>
    <col min="4" max="4" width="14" style="1" customWidth="1"/>
    <col min="5" max="5" width="16" style="1" customWidth="1"/>
    <col min="6" max="7" width="14" style="1" customWidth="1"/>
    <col min="8" max="8" width="16" style="1" customWidth="1"/>
    <col min="9" max="9" width="22" style="1" customWidth="1"/>
  </cols>
  <sheetData>
    <row r="1" spans="1:13" ht="17.25" customHeight="1" x14ac:dyDescent="0.4">
      <c r="A1" s="219" t="s">
        <v>71</v>
      </c>
      <c r="B1" s="219"/>
      <c r="C1" s="219"/>
      <c r="D1" s="219"/>
      <c r="E1" s="219"/>
      <c r="F1" s="219"/>
      <c r="G1" s="219"/>
      <c r="H1" s="219"/>
      <c r="I1" s="219"/>
    </row>
    <row r="3" spans="1:13" ht="15" customHeight="1" x14ac:dyDescent="0.35">
      <c r="A3" s="2" t="s">
        <v>2</v>
      </c>
      <c r="B3" s="2" t="s">
        <v>46</v>
      </c>
      <c r="C3" s="2" t="s">
        <v>63</v>
      </c>
      <c r="D3" s="2" t="s">
        <v>47</v>
      </c>
      <c r="E3" s="2" t="s">
        <v>64</v>
      </c>
      <c r="F3" s="2" t="s">
        <v>72</v>
      </c>
      <c r="G3" s="2" t="s">
        <v>48</v>
      </c>
      <c r="H3" s="2" t="s">
        <v>68</v>
      </c>
      <c r="I3" s="2" t="s">
        <v>73</v>
      </c>
    </row>
    <row r="4" spans="1:13" ht="15" customHeight="1" x14ac:dyDescent="0.35">
      <c r="A4" s="3" t="s">
        <v>32</v>
      </c>
      <c r="B4" s="4">
        <f>COUNTIF('Cleaned Data'!C:C,"*"&amp;A4&amp;"*")</f>
        <v>54</v>
      </c>
      <c r="C4" s="4">
        <f>SUMIF('Cleaned Data'!C:C,"*"&amp;A4&amp;"*",'Cleaned Data'!H:H)</f>
        <v>459065</v>
      </c>
      <c r="D4" s="7">
        <f t="shared" ref="D4:D16" si="0">IFERROR(C4/B4,0)</f>
        <v>8501.2037037037044</v>
      </c>
      <c r="E4" s="4">
        <f>SUMIF('Cleaned Data'!C:C,"*"&amp;A4&amp;"*",'Cleaned Data'!K:K)</f>
        <v>1554292</v>
      </c>
      <c r="F4" s="4">
        <f>SUMIF('Cleaned Data'!C:C,"*"&amp;A4&amp;"*",'Cleaned Data'!L:L)</f>
        <v>1550878</v>
      </c>
      <c r="G4" s="8">
        <f t="shared" ref="G4:G16" si="1">IFERROR(C4/E4,0)</f>
        <v>0.29535312541015457</v>
      </c>
      <c r="H4" s="7">
        <f t="shared" ref="H4:H16" si="2">IFERROR(F4/B4,0)</f>
        <v>28719.962962962964</v>
      </c>
      <c r="I4" s="3" t="str">
        <f t="shared" ref="I4:I16" si="3">IF(D4&gt;=5000,"Tier 1 - Star",IF(D4&gt;=700,"Tier 2 - Solid",IF(D4&gt;=150,"Tier 3 - Developing","Tier 4 - Low Eng")))</f>
        <v>Tier 1 - Star</v>
      </c>
      <c r="M4" s="37"/>
    </row>
    <row r="5" spans="1:13" ht="15" customHeight="1" x14ac:dyDescent="0.35">
      <c r="A5" s="5" t="s">
        <v>43</v>
      </c>
      <c r="B5" s="6">
        <f>COUNTIF('Cleaned Data'!C:C,"*"&amp;A5&amp;"*")</f>
        <v>8</v>
      </c>
      <c r="C5" s="6">
        <f>SUMIF('Cleaned Data'!C:C,"*"&amp;A5&amp;"*",'Cleaned Data'!H:H)</f>
        <v>60782</v>
      </c>
      <c r="D5" s="10">
        <f t="shared" si="0"/>
        <v>7597.75</v>
      </c>
      <c r="E5" s="6">
        <f>SUMIF('Cleaned Data'!C:C,"*"&amp;A5&amp;"*",'Cleaned Data'!K:K)</f>
        <v>1484445</v>
      </c>
      <c r="F5" s="6">
        <f>SUMIF('Cleaned Data'!C:C,"*"&amp;A5&amp;"*",'Cleaned Data'!L:L)</f>
        <v>353612</v>
      </c>
      <c r="G5" s="11">
        <f t="shared" si="1"/>
        <v>4.0945942759751962E-2</v>
      </c>
      <c r="H5" s="10">
        <f t="shared" si="2"/>
        <v>44201.5</v>
      </c>
      <c r="I5" s="5" t="str">
        <f t="shared" si="3"/>
        <v>Tier 1 - Star</v>
      </c>
      <c r="M5" s="40"/>
    </row>
    <row r="6" spans="1:13" ht="15" customHeight="1" x14ac:dyDescent="0.35">
      <c r="A6" s="3" t="s">
        <v>34</v>
      </c>
      <c r="B6" s="4">
        <f>COUNTIF('Cleaned Data'!C:C,"*"&amp;A6&amp;"*")</f>
        <v>54</v>
      </c>
      <c r="C6" s="4">
        <f>SUMIF('Cleaned Data'!C:C,"*"&amp;A6&amp;"*",'Cleaned Data'!H:H)</f>
        <v>288335</v>
      </c>
      <c r="D6" s="7">
        <f t="shared" si="0"/>
        <v>5339.5370370370374</v>
      </c>
      <c r="E6" s="4">
        <f>SUMIF('Cleaned Data'!C:C,"*"&amp;A6&amp;"*",'Cleaned Data'!K:K)</f>
        <v>1494137</v>
      </c>
      <c r="F6" s="4">
        <f>SUMIF('Cleaned Data'!C:C,"*"&amp;A6&amp;"*",'Cleaned Data'!L:L)</f>
        <v>1462037</v>
      </c>
      <c r="G6" s="8">
        <f t="shared" si="1"/>
        <v>0.19297761851824832</v>
      </c>
      <c r="H6" s="7">
        <f t="shared" si="2"/>
        <v>27074.759259259259</v>
      </c>
      <c r="I6" s="3" t="str">
        <f t="shared" si="3"/>
        <v>Tier 1 - Star</v>
      </c>
      <c r="M6" s="42"/>
    </row>
    <row r="7" spans="1:13" ht="15" customHeight="1" x14ac:dyDescent="0.35">
      <c r="A7" s="5" t="s">
        <v>31</v>
      </c>
      <c r="B7" s="6">
        <f>COUNTIF('Cleaned Data'!C:C,"*"&amp;A7&amp;"*")</f>
        <v>58</v>
      </c>
      <c r="C7" s="6">
        <f>SUMIF('Cleaned Data'!C:C,"*"&amp;A7&amp;"*",'Cleaned Data'!H:H)</f>
        <v>112605</v>
      </c>
      <c r="D7" s="10">
        <f t="shared" si="0"/>
        <v>1941.4655172413793</v>
      </c>
      <c r="E7" s="6">
        <f>SUMIF('Cleaned Data'!C:C,"*"&amp;A7&amp;"*",'Cleaned Data'!K:K)</f>
        <v>976258</v>
      </c>
      <c r="F7" s="6">
        <f>SUMIF('Cleaned Data'!C:C,"*"&amp;A7&amp;"*",'Cleaned Data'!L:L)</f>
        <v>911746</v>
      </c>
      <c r="G7" s="11">
        <f t="shared" si="1"/>
        <v>0.11534348502137755</v>
      </c>
      <c r="H7" s="10">
        <f t="shared" si="2"/>
        <v>15719.758620689656</v>
      </c>
      <c r="I7" s="5" t="str">
        <f t="shared" si="3"/>
        <v>Tier 2 - Solid</v>
      </c>
      <c r="M7" s="40"/>
    </row>
    <row r="8" spans="1:13" ht="15" customHeight="1" x14ac:dyDescent="0.35">
      <c r="A8" s="53" t="s">
        <v>232</v>
      </c>
      <c r="B8" s="4">
        <f>COUNTIF('Cleaned Data'!C:C,"*"&amp;A8&amp;"*")</f>
        <v>32</v>
      </c>
      <c r="C8" s="4">
        <f>SUMIF('Cleaned Data'!C:C,"*"&amp;A8&amp;"*",'Cleaned Data'!H:H)</f>
        <v>31038</v>
      </c>
      <c r="D8" s="7">
        <f t="shared" si="0"/>
        <v>969.9375</v>
      </c>
      <c r="E8" s="4">
        <f>SUMIF('Cleaned Data'!C:C,"*"&amp;A8&amp;"*",'Cleaned Data'!K:K)</f>
        <v>841042</v>
      </c>
      <c r="F8" s="4">
        <f>SUMIF('Cleaned Data'!C:C,"*"&amp;A8&amp;"*",'Cleaned Data'!L:L)</f>
        <v>262626</v>
      </c>
      <c r="G8" s="8">
        <f t="shared" si="1"/>
        <v>3.6904221192282906E-2</v>
      </c>
      <c r="H8" s="7">
        <f t="shared" si="2"/>
        <v>8207.0625</v>
      </c>
      <c r="I8" s="3" t="str">
        <f t="shared" si="3"/>
        <v>Tier 2 - Solid</v>
      </c>
      <c r="M8" s="42"/>
    </row>
    <row r="9" spans="1:13" ht="15" customHeight="1" x14ac:dyDescent="0.35">
      <c r="A9" s="5" t="s">
        <v>26</v>
      </c>
      <c r="B9" s="6">
        <f>COUNTIF('Cleaned Data'!C:C,"*"&amp;A9&amp;"*")</f>
        <v>56</v>
      </c>
      <c r="C9" s="6">
        <f>SUMIF('Cleaned Data'!C:C,"*"&amp;A9&amp;"*",'Cleaned Data'!H:H)</f>
        <v>53786</v>
      </c>
      <c r="D9" s="10">
        <f t="shared" si="0"/>
        <v>960.46428571428567</v>
      </c>
      <c r="E9" s="6">
        <f>SUMIF('Cleaned Data'!C:C,"*"&amp;A9&amp;"*",'Cleaned Data'!K:K)</f>
        <v>518263</v>
      </c>
      <c r="F9" s="6">
        <f>SUMIF('Cleaned Data'!C:C,"*"&amp;A9&amp;"*",'Cleaned Data'!L:L)</f>
        <v>493055</v>
      </c>
      <c r="G9" s="11">
        <f t="shared" si="1"/>
        <v>0.10378128479169842</v>
      </c>
      <c r="H9" s="10">
        <f t="shared" si="2"/>
        <v>8804.5535714285706</v>
      </c>
      <c r="I9" s="5" t="str">
        <f t="shared" si="3"/>
        <v>Tier 2 - Solid</v>
      </c>
      <c r="M9" s="40"/>
    </row>
    <row r="10" spans="1:13" ht="15" customHeight="1" x14ac:dyDescent="0.35">
      <c r="A10" s="3" t="s">
        <v>14</v>
      </c>
      <c r="B10" s="4">
        <f>COUNTIF('Cleaned Data'!C:C,"*"&amp;A10&amp;"*")</f>
        <v>64</v>
      </c>
      <c r="C10" s="4">
        <f>SUMIF('Cleaned Data'!C:C,"*"&amp;A10&amp;"*",'Cleaned Data'!H:H)</f>
        <v>16963</v>
      </c>
      <c r="D10" s="7">
        <f t="shared" si="0"/>
        <v>265.046875</v>
      </c>
      <c r="E10" s="4">
        <f>SUMIF('Cleaned Data'!C:C,"*"&amp;A10&amp;"*",'Cleaned Data'!K:K)</f>
        <v>508816</v>
      </c>
      <c r="F10" s="4">
        <f>SUMIF('Cleaned Data'!C:C,"*"&amp;A10&amp;"*",'Cleaned Data'!L:L)</f>
        <v>166244</v>
      </c>
      <c r="G10" s="8">
        <f t="shared" si="1"/>
        <v>3.3338181189270781E-2</v>
      </c>
      <c r="H10" s="7">
        <f t="shared" si="2"/>
        <v>2597.5625</v>
      </c>
      <c r="I10" s="3" t="str">
        <f t="shared" si="3"/>
        <v>Tier 3 - Developing</v>
      </c>
      <c r="M10" s="42"/>
    </row>
    <row r="11" spans="1:13" ht="15" customHeight="1" x14ac:dyDescent="0.35">
      <c r="A11" s="54" t="s">
        <v>101</v>
      </c>
      <c r="B11" s="6">
        <f>COUNTIF('Cleaned Data'!C:C,"*"&amp;A11&amp;"*")</f>
        <v>58</v>
      </c>
      <c r="C11" s="6">
        <f>SUMIF('Cleaned Data'!C:C,"*"&amp;A11&amp;"*",'Cleaned Data'!H:H)</f>
        <v>14906</v>
      </c>
      <c r="D11" s="10">
        <f t="shared" si="0"/>
        <v>257</v>
      </c>
      <c r="E11" s="6">
        <f>SUMIF('Cleaned Data'!C:C,"*"&amp;A11&amp;"*",'Cleaned Data'!K:K)</f>
        <v>395555</v>
      </c>
      <c r="F11" s="6">
        <f>SUMIF('Cleaned Data'!C:C,"*"&amp;A11&amp;"*",'Cleaned Data'!L:L)</f>
        <v>87971</v>
      </c>
      <c r="G11" s="11">
        <f t="shared" si="1"/>
        <v>3.7683760791798866E-2</v>
      </c>
      <c r="H11" s="10">
        <f t="shared" si="2"/>
        <v>1516.7413793103449</v>
      </c>
      <c r="I11" s="5" t="str">
        <f t="shared" si="3"/>
        <v>Tier 3 - Developing</v>
      </c>
      <c r="M11" s="40"/>
    </row>
    <row r="12" spans="1:13" ht="15" customHeight="1" x14ac:dyDescent="0.35">
      <c r="A12" s="3" t="s">
        <v>25</v>
      </c>
      <c r="B12" s="4">
        <f>COUNTIF('Cleaned Data'!C:C,"*"&amp;A12&amp;"*")</f>
        <v>60</v>
      </c>
      <c r="C12" s="4">
        <f>SUMIF('Cleaned Data'!C:C,"*"&amp;A12&amp;"*",'Cleaned Data'!H:H)</f>
        <v>14459</v>
      </c>
      <c r="D12" s="7">
        <f t="shared" si="0"/>
        <v>240.98333333333332</v>
      </c>
      <c r="E12" s="4">
        <f>SUMIF('Cleaned Data'!C:C,"*"&amp;A12&amp;"*",'Cleaned Data'!K:K)</f>
        <v>397473</v>
      </c>
      <c r="F12" s="4">
        <f>SUMIF('Cleaned Data'!C:C,"*"&amp;A12&amp;"*",'Cleaned Data'!L:L)</f>
        <v>102884</v>
      </c>
      <c r="G12" s="8">
        <f t="shared" si="1"/>
        <v>3.6377313679168147E-2</v>
      </c>
      <c r="H12" s="7">
        <f t="shared" si="2"/>
        <v>1714.7333333333333</v>
      </c>
      <c r="I12" s="3" t="str">
        <f t="shared" si="3"/>
        <v>Tier 3 - Developing</v>
      </c>
      <c r="M12" s="42"/>
    </row>
    <row r="13" spans="1:13" ht="15" customHeight="1" x14ac:dyDescent="0.35">
      <c r="A13" s="5" t="s">
        <v>35</v>
      </c>
      <c r="B13" s="6">
        <f>COUNTIF('Cleaned Data'!C:C,"*"&amp;A13&amp;"*")</f>
        <v>58</v>
      </c>
      <c r="C13" s="6">
        <f>SUMIF('Cleaned Data'!C:C,"*"&amp;A13&amp;"*",'Cleaned Data'!H:H)</f>
        <v>10133</v>
      </c>
      <c r="D13" s="10">
        <f t="shared" si="0"/>
        <v>174.70689655172413</v>
      </c>
      <c r="E13" s="6">
        <f>SUMIF('Cleaned Data'!C:C,"*"&amp;A13&amp;"*",'Cleaned Data'!K:K)</f>
        <v>301671</v>
      </c>
      <c r="F13" s="6">
        <f>SUMIF('Cleaned Data'!C:C,"*"&amp;A13&amp;"*",'Cleaned Data'!L:L)</f>
        <v>107337</v>
      </c>
      <c r="G13" s="11">
        <f t="shared" si="1"/>
        <v>3.3589572746468836E-2</v>
      </c>
      <c r="H13" s="10">
        <f t="shared" si="2"/>
        <v>1850.6379310344828</v>
      </c>
      <c r="I13" s="5" t="str">
        <f t="shared" si="3"/>
        <v>Tier 3 - Developing</v>
      </c>
      <c r="M13" s="40"/>
    </row>
    <row r="14" spans="1:13" ht="15" customHeight="1" x14ac:dyDescent="0.35">
      <c r="A14" s="3" t="s">
        <v>33</v>
      </c>
      <c r="B14" s="4">
        <f>COUNTIF('Cleaned Data'!C:C,"*"&amp;A14&amp;"*")</f>
        <v>58</v>
      </c>
      <c r="C14" s="4">
        <f>SUMIF('Cleaned Data'!C:C,"*"&amp;A14&amp;"*",'Cleaned Data'!H:H)</f>
        <v>5852</v>
      </c>
      <c r="D14" s="7">
        <f t="shared" si="0"/>
        <v>100.89655172413794</v>
      </c>
      <c r="E14" s="4">
        <f>SUMIF('Cleaned Data'!C:C,"*"&amp;A14&amp;"*",'Cleaned Data'!K:K)</f>
        <v>694370</v>
      </c>
      <c r="F14" s="4">
        <f>SUMIF('Cleaned Data'!C:C,"*"&amp;A14&amp;"*",'Cleaned Data'!L:L)</f>
        <v>681188</v>
      </c>
      <c r="G14" s="8">
        <f t="shared" si="1"/>
        <v>8.4277834583867395E-3</v>
      </c>
      <c r="H14" s="7">
        <f t="shared" si="2"/>
        <v>11744.620689655172</v>
      </c>
      <c r="I14" s="3" t="str">
        <f t="shared" si="3"/>
        <v>Tier 4 - Low Eng</v>
      </c>
      <c r="M14" s="42"/>
    </row>
    <row r="15" spans="1:13" ht="15" customHeight="1" x14ac:dyDescent="0.35">
      <c r="A15" s="5" t="s">
        <v>30</v>
      </c>
      <c r="B15" s="6">
        <f>COUNTIF('Cleaned Data'!C:C,"*"&amp;A15&amp;"*")</f>
        <v>60</v>
      </c>
      <c r="C15" s="6">
        <f>SUMIF('Cleaned Data'!C:C,"*"&amp;A15&amp;"*",'Cleaned Data'!H:H)</f>
        <v>539</v>
      </c>
      <c r="D15" s="10">
        <f t="shared" si="0"/>
        <v>8.9833333333333325</v>
      </c>
      <c r="E15" s="6">
        <f>SUMIF('Cleaned Data'!C:C,"*"&amp;A15&amp;"*",'Cleaned Data'!K:K)</f>
        <v>12408</v>
      </c>
      <c r="F15" s="6">
        <f>SUMIF('Cleaned Data'!C:C,"*"&amp;A15&amp;"*",'Cleaned Data'!L:L)</f>
        <v>12264</v>
      </c>
      <c r="G15" s="11">
        <f t="shared" si="1"/>
        <v>4.3439716312056738E-2</v>
      </c>
      <c r="H15" s="10">
        <f t="shared" si="2"/>
        <v>204.4</v>
      </c>
      <c r="I15" s="5" t="str">
        <f t="shared" si="3"/>
        <v>Tier 4 - Low Eng</v>
      </c>
      <c r="M15" s="40"/>
    </row>
    <row r="16" spans="1:13" ht="15" customHeight="1" x14ac:dyDescent="0.35">
      <c r="A16" s="3" t="s">
        <v>27</v>
      </c>
      <c r="B16" s="4">
        <f>COUNTIF('Cleaned Data'!C:C,"*"&amp;A16&amp;"*")</f>
        <v>29</v>
      </c>
      <c r="C16" s="4">
        <f>SUMIF('Cleaned Data'!C:C,"*"&amp;A16&amp;"*",'Cleaned Data'!H:H)</f>
        <v>117</v>
      </c>
      <c r="D16" s="7">
        <f t="shared" si="0"/>
        <v>4.0344827586206895</v>
      </c>
      <c r="E16" s="4">
        <f>SUMIF('Cleaned Data'!C:C,"*"&amp;A16&amp;"*",'Cleaned Data'!K:K)</f>
        <v>770</v>
      </c>
      <c r="F16" s="4">
        <f>SUMIF('Cleaned Data'!C:C,"*"&amp;A16&amp;"*",'Cleaned Data'!L:L)</f>
        <v>702</v>
      </c>
      <c r="G16" s="8">
        <f t="shared" si="1"/>
        <v>0.15194805194805194</v>
      </c>
      <c r="H16" s="7">
        <f t="shared" si="2"/>
        <v>24.206896551724139</v>
      </c>
      <c r="I16" s="3" t="str">
        <f t="shared" si="3"/>
        <v>Tier 4 - Low Eng</v>
      </c>
      <c r="M16" s="42"/>
    </row>
    <row r="17" spans="7:13" x14ac:dyDescent="0.35">
      <c r="M17" s="40"/>
    </row>
    <row r="21" spans="7:13" x14ac:dyDescent="0.35">
      <c r="G21" s="37"/>
      <c r="H21" s="37"/>
      <c r="I21" s="58"/>
    </row>
    <row r="22" spans="7:13" x14ac:dyDescent="0.35">
      <c r="G22" s="39"/>
      <c r="H22" s="40"/>
      <c r="I22" s="59"/>
    </row>
    <row r="23" spans="7:13" x14ac:dyDescent="0.35">
      <c r="G23" s="55"/>
      <c r="H23" s="42"/>
      <c r="I23" s="59"/>
    </row>
    <row r="24" spans="7:13" x14ac:dyDescent="0.35">
      <c r="G24" s="39"/>
      <c r="H24" s="40"/>
      <c r="I24" s="59"/>
    </row>
    <row r="25" spans="7:13" x14ac:dyDescent="0.35">
      <c r="G25" s="55"/>
      <c r="H25" s="42"/>
      <c r="I25" s="59"/>
    </row>
    <row r="26" spans="7:13" x14ac:dyDescent="0.35">
      <c r="G26" s="56"/>
      <c r="H26" s="40"/>
      <c r="I26" s="59"/>
    </row>
    <row r="27" spans="7:13" x14ac:dyDescent="0.35">
      <c r="G27" s="55"/>
      <c r="H27" s="42"/>
      <c r="I27" s="59"/>
    </row>
    <row r="28" spans="7:13" x14ac:dyDescent="0.35">
      <c r="G28" s="39"/>
      <c r="H28" s="40"/>
      <c r="I28" s="59"/>
    </row>
    <row r="29" spans="7:13" x14ac:dyDescent="0.35">
      <c r="G29" s="57"/>
      <c r="H29" s="42"/>
      <c r="I29" s="59"/>
    </row>
    <row r="30" spans="7:13" x14ac:dyDescent="0.35">
      <c r="G30" s="39"/>
      <c r="H30" s="40"/>
      <c r="I30" s="59"/>
    </row>
    <row r="31" spans="7:13" x14ac:dyDescent="0.35">
      <c r="G31" s="55"/>
      <c r="H31" s="42"/>
      <c r="I31" s="59"/>
    </row>
    <row r="32" spans="7:13" x14ac:dyDescent="0.35">
      <c r="G32" s="39"/>
      <c r="H32" s="40"/>
      <c r="I32" s="59"/>
    </row>
    <row r="33" spans="7:9" x14ac:dyDescent="0.35">
      <c r="G33" s="55"/>
      <c r="H33" s="42"/>
      <c r="I33" s="59"/>
    </row>
    <row r="34" spans="7:9" x14ac:dyDescent="0.35">
      <c r="G34" s="39"/>
      <c r="H34" s="40"/>
      <c r="I34" s="59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C4899"/>
  </sheetPr>
  <dimension ref="A1:E34"/>
  <sheetViews>
    <sheetView topLeftCell="A7" zoomScaleNormal="100" workbookViewId="0">
      <selection activeCell="A18" sqref="A18:C19"/>
    </sheetView>
  </sheetViews>
  <sheetFormatPr defaultColWidth="8.6328125" defaultRowHeight="14.5" x14ac:dyDescent="0.35"/>
  <cols>
    <col min="1" max="1" width="30" style="1" customWidth="1"/>
    <col min="2" max="5" width="16" style="1" customWidth="1"/>
  </cols>
  <sheetData>
    <row r="1" spans="1:5" ht="17.25" customHeight="1" x14ac:dyDescent="0.4">
      <c r="A1" s="219" t="s">
        <v>74</v>
      </c>
      <c r="B1" s="219"/>
      <c r="C1" s="219"/>
      <c r="D1" s="219"/>
      <c r="E1" s="219"/>
    </row>
    <row r="3" spans="1:5" ht="15" customHeight="1" x14ac:dyDescent="0.35">
      <c r="A3" s="220" t="s">
        <v>75</v>
      </c>
      <c r="B3" s="220"/>
      <c r="C3" s="220"/>
      <c r="D3" s="220"/>
      <c r="E3" s="220"/>
    </row>
    <row r="4" spans="1:5" ht="15" customHeight="1" x14ac:dyDescent="0.35">
      <c r="A4" s="2" t="s">
        <v>76</v>
      </c>
      <c r="B4" s="2" t="s">
        <v>6</v>
      </c>
      <c r="C4" s="2" t="s">
        <v>9</v>
      </c>
      <c r="D4" s="2" t="s">
        <v>10</v>
      </c>
      <c r="E4" s="2" t="s">
        <v>48</v>
      </c>
    </row>
    <row r="5" spans="1:5" ht="15" customHeight="1" x14ac:dyDescent="0.35">
      <c r="A5" s="22" t="s">
        <v>77</v>
      </c>
      <c r="B5" s="23">
        <f>COUNT('Cleaned Data'!$H$2:$H$650)</f>
        <v>649</v>
      </c>
      <c r="C5" s="23">
        <f>COUNT('Cleaned Data'!$K$2:$K$650)</f>
        <v>649</v>
      </c>
      <c r="D5" s="23">
        <f>COUNT('Cleaned Data'!$L$2:$L$650)</f>
        <v>649</v>
      </c>
      <c r="E5" s="24">
        <f>COUNT('Cleaned Data'!$M$2:$M$650)</f>
        <v>649</v>
      </c>
    </row>
    <row r="6" spans="1:5" ht="15" customHeight="1" x14ac:dyDescent="0.35">
      <c r="A6" s="22" t="s">
        <v>78</v>
      </c>
      <c r="B6" s="23">
        <f>SUM('Cleaned Data'!$H$2:$H$650)</f>
        <v>1068580</v>
      </c>
      <c r="C6" s="23">
        <f>SUM('Cleaned Data'!$K$2:$K$650)</f>
        <v>9179500</v>
      </c>
      <c r="D6" s="23">
        <f>SUM('Cleaned Data'!$L$2:$L$650)</f>
        <v>6192544</v>
      </c>
      <c r="E6" s="24">
        <f>SUM('Cleaned Data'!$M$2:$M$650)</f>
        <v>51.893424247465447</v>
      </c>
    </row>
    <row r="7" spans="1:5" ht="15" customHeight="1" x14ac:dyDescent="0.35">
      <c r="A7" s="22" t="s">
        <v>79</v>
      </c>
      <c r="B7" s="21">
        <f>AVERAGE('Cleaned Data'!$H$2:$H$650)</f>
        <v>1646.502311248074</v>
      </c>
      <c r="C7" s="21">
        <f>AVERAGE('Cleaned Data'!$K$2:$K$650)</f>
        <v>14144.06779661017</v>
      </c>
      <c r="D7" s="21">
        <f>AVERAGE('Cleaned Data'!$L$2:$L$650)</f>
        <v>9541.6702619414482</v>
      </c>
      <c r="E7" s="24">
        <f>AVERAGE('Cleaned Data'!$M$2:$M$650)</f>
        <v>7.9959051228760319E-2</v>
      </c>
    </row>
    <row r="8" spans="1:5" ht="15" customHeight="1" x14ac:dyDescent="0.35">
      <c r="A8" s="22" t="s">
        <v>80</v>
      </c>
      <c r="B8" s="21">
        <f>MEDIAN('Cleaned Data'!$H$2:$H$650)</f>
        <v>2</v>
      </c>
      <c r="C8" s="21">
        <f>MEDIAN('Cleaned Data'!$K$2:$K$650)</f>
        <v>37</v>
      </c>
      <c r="D8" s="21">
        <f>MEDIAN('Cleaned Data'!$L$2:$L$650)</f>
        <v>35</v>
      </c>
      <c r="E8" s="24">
        <f>MEDIAN('Cleaned Data'!$M$2:$M$650)</f>
        <v>0.05</v>
      </c>
    </row>
    <row r="9" spans="1:5" ht="15" customHeight="1" x14ac:dyDescent="0.35">
      <c r="A9" s="22" t="s">
        <v>81</v>
      </c>
      <c r="B9" s="21">
        <f>STDEV('Cleaned Data'!$H$2:$H$650)</f>
        <v>15585.877190478459</v>
      </c>
      <c r="C9" s="21">
        <f>STDEV('Cleaned Data'!$K$2:$K$650)</f>
        <v>88480.056653565931</v>
      </c>
      <c r="D9" s="21">
        <f>STDEV('Cleaned Data'!$L$2:$L$650)</f>
        <v>63547.916976301494</v>
      </c>
      <c r="E9" s="24">
        <f>STDEV('Cleaned Data'!$M$2:$M$650)</f>
        <v>0.10198034401608214</v>
      </c>
    </row>
    <row r="10" spans="1:5" ht="15" customHeight="1" x14ac:dyDescent="0.35">
      <c r="A10" s="22" t="s">
        <v>82</v>
      </c>
      <c r="B10" s="23">
        <f>MIN('Cleaned Data'!$H$2:$H$650)</f>
        <v>0</v>
      </c>
      <c r="C10" s="23">
        <f>MIN('Cleaned Data'!$K$2:$K$650)</f>
        <v>0</v>
      </c>
      <c r="D10" s="23">
        <f>MIN('Cleaned Data'!$L$2:$L$650)</f>
        <v>0</v>
      </c>
      <c r="E10" s="24">
        <f>MIN('Cleaned Data'!$M$2:$M$650)</f>
        <v>0</v>
      </c>
    </row>
    <row r="11" spans="1:5" ht="15" customHeight="1" x14ac:dyDescent="0.35">
      <c r="A11" s="22" t="s">
        <v>83</v>
      </c>
      <c r="B11" s="23">
        <f>MAX('Cleaned Data'!$H$2:$H$650)</f>
        <v>310752</v>
      </c>
      <c r="C11" s="23">
        <f>MAX('Cleaned Data'!$K$2:$K$650)</f>
        <v>1285017</v>
      </c>
      <c r="D11" s="23">
        <f>MAX('Cleaned Data'!$L$2:$L$650)</f>
        <v>781817</v>
      </c>
      <c r="E11" s="24">
        <f>MAX('Cleaned Data'!$M$2:$M$650)</f>
        <v>1</v>
      </c>
    </row>
    <row r="12" spans="1:5" ht="15" customHeight="1" x14ac:dyDescent="0.35">
      <c r="A12" s="197"/>
      <c r="B12" s="198"/>
      <c r="C12" s="198"/>
      <c r="D12" s="198"/>
      <c r="E12" s="199"/>
    </row>
    <row r="13" spans="1:5" ht="15" customHeight="1" x14ac:dyDescent="0.35">
      <c r="A13" s="197"/>
      <c r="B13" s="198"/>
      <c r="C13" s="198"/>
      <c r="D13" s="198"/>
      <c r="E13" s="199"/>
    </row>
    <row r="14" spans="1:5" ht="15" customHeight="1" x14ac:dyDescent="0.35">
      <c r="A14" s="197"/>
      <c r="B14" s="198"/>
      <c r="C14" s="198"/>
      <c r="D14" s="198"/>
      <c r="E14" s="199"/>
    </row>
    <row r="15" spans="1:5" ht="15" customHeight="1" x14ac:dyDescent="0.35">
      <c r="A15" s="197"/>
      <c r="B15" s="198"/>
      <c r="C15" s="198"/>
      <c r="D15" s="198"/>
      <c r="E15" s="199"/>
    </row>
    <row r="18" spans="1:5" ht="15" customHeight="1" x14ac:dyDescent="0.35">
      <c r="A18" s="220"/>
      <c r="B18" s="220"/>
      <c r="C18" s="220"/>
    </row>
    <row r="19" spans="1:5" ht="15" customHeight="1" x14ac:dyDescent="0.35">
      <c r="A19" s="37"/>
      <c r="B19" s="37"/>
      <c r="C19" s="37"/>
    </row>
    <row r="20" spans="1:5" ht="15" customHeight="1" x14ac:dyDescent="0.35">
      <c r="A20" s="237"/>
      <c r="B20" s="238"/>
      <c r="C20" s="199"/>
    </row>
    <row r="21" spans="1:5" ht="15" customHeight="1" x14ac:dyDescent="0.35">
      <c r="A21" s="237"/>
      <c r="B21" s="238"/>
      <c r="C21" s="199"/>
    </row>
    <row r="22" spans="1:5" ht="15" customHeight="1" x14ac:dyDescent="0.35">
      <c r="A22" s="237"/>
      <c r="B22" s="238"/>
      <c r="C22" s="199"/>
    </row>
    <row r="23" spans="1:5" ht="15" customHeight="1" x14ac:dyDescent="0.35">
      <c r="A23" s="237"/>
      <c r="B23" s="238"/>
      <c r="C23" s="199"/>
    </row>
    <row r="24" spans="1:5" ht="15" customHeight="1" x14ac:dyDescent="0.35">
      <c r="A24" s="237"/>
      <c r="B24" s="238"/>
      <c r="C24" s="199"/>
    </row>
    <row r="25" spans="1:5" ht="15" customHeight="1" x14ac:dyDescent="0.35">
      <c r="A25" s="237"/>
      <c r="B25" s="238"/>
      <c r="C25" s="199"/>
    </row>
    <row r="26" spans="1:5" ht="15" customHeight="1" x14ac:dyDescent="0.35">
      <c r="A26" s="237"/>
      <c r="B26" s="238"/>
      <c r="C26" s="199"/>
    </row>
    <row r="29" spans="1:5" ht="15" customHeight="1" x14ac:dyDescent="0.35">
      <c r="A29" s="220"/>
      <c r="B29" s="220"/>
      <c r="C29" s="220"/>
      <c r="D29" s="220"/>
      <c r="E29" s="220"/>
    </row>
    <row r="30" spans="1:5" ht="15" customHeight="1" x14ac:dyDescent="0.35">
      <c r="A30" s="239"/>
      <c r="C30" s="25"/>
    </row>
    <row r="31" spans="1:5" ht="15" customHeight="1" x14ac:dyDescent="0.35">
      <c r="A31" s="239"/>
      <c r="C31" s="26"/>
    </row>
    <row r="32" spans="1:5" ht="15" customHeight="1" x14ac:dyDescent="0.35">
      <c r="A32" s="239"/>
      <c r="C32" s="27"/>
    </row>
    <row r="33" spans="1:3" ht="15" customHeight="1" x14ac:dyDescent="0.35">
      <c r="A33" s="239"/>
      <c r="C33" s="25"/>
    </row>
    <row r="34" spans="1:3" ht="15" customHeight="1" x14ac:dyDescent="0.35">
      <c r="A34" s="239"/>
      <c r="C34" s="27"/>
    </row>
  </sheetData>
  <mergeCells count="4">
    <mergeCell ref="A1:E1"/>
    <mergeCell ref="A3:E3"/>
    <mergeCell ref="A18:C18"/>
    <mergeCell ref="A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F4444"/>
  </sheetPr>
  <dimension ref="A1:F27"/>
  <sheetViews>
    <sheetView topLeftCell="A12" zoomScaleNormal="100" workbookViewId="0">
      <selection activeCell="H9" sqref="H9"/>
    </sheetView>
  </sheetViews>
  <sheetFormatPr defaultColWidth="8.6328125" defaultRowHeight="14.5" x14ac:dyDescent="0.35"/>
  <cols>
    <col min="1" max="1" width="20" style="1" customWidth="1"/>
    <col min="2" max="3" width="16" style="1" customWidth="1"/>
    <col min="4" max="5" width="14" style="1" customWidth="1"/>
    <col min="6" max="6" width="16" style="1" customWidth="1"/>
  </cols>
  <sheetData>
    <row r="1" spans="1:6" ht="17.25" customHeight="1" x14ac:dyDescent="0.4">
      <c r="A1" s="219" t="s">
        <v>84</v>
      </c>
      <c r="B1" s="219"/>
      <c r="C1" s="219"/>
      <c r="D1" s="219"/>
      <c r="E1" s="219"/>
      <c r="F1" s="219"/>
    </row>
    <row r="3" spans="1:6" ht="15" customHeight="1" x14ac:dyDescent="0.35">
      <c r="A3" s="220" t="s">
        <v>85</v>
      </c>
      <c r="B3" s="220"/>
      <c r="C3" s="220"/>
      <c r="D3" s="220"/>
      <c r="E3" s="220"/>
      <c r="F3" s="220"/>
    </row>
    <row r="4" spans="1:6" ht="15" customHeight="1" x14ac:dyDescent="0.35">
      <c r="A4" s="2" t="s">
        <v>86</v>
      </c>
      <c r="B4" s="2" t="s">
        <v>39</v>
      </c>
      <c r="C4" s="2" t="s">
        <v>41</v>
      </c>
      <c r="D4" s="2" t="s">
        <v>87</v>
      </c>
      <c r="E4" s="2" t="s">
        <v>88</v>
      </c>
      <c r="F4" s="2" t="s">
        <v>89</v>
      </c>
    </row>
    <row r="5" spans="1:6" ht="15" customHeight="1" x14ac:dyDescent="0.35">
      <c r="A5" s="28" t="s">
        <v>90</v>
      </c>
      <c r="B5" s="20">
        <f>COUNTIF('Cleaned Data'!A:A,"*September*")</f>
        <v>121</v>
      </c>
      <c r="C5" s="20">
        <f>COUNTIF('Cleaned Data'!A:A,"*October*")</f>
        <v>134</v>
      </c>
      <c r="D5" s="20">
        <f t="shared" ref="D5:D11" si="0">C5-B5</f>
        <v>13</v>
      </c>
      <c r="E5" s="18">
        <f t="shared" ref="E5:E11" si="1">IFERROR((C5-B5)/B5,0)</f>
        <v>0.10743801652892562</v>
      </c>
      <c r="F5" s="29" t="str">
        <f t="shared" ref="F5:F11" si="2">IF(ABS(E5)&gt;0.5,"⚠ ANOMALY","Normal")</f>
        <v>Normal</v>
      </c>
    </row>
    <row r="6" spans="1:6" ht="15" customHeight="1" x14ac:dyDescent="0.35">
      <c r="A6" s="28" t="s">
        <v>91</v>
      </c>
      <c r="B6" s="20">
        <f>SUMIF('Cleaned Data'!A:A,"*September*",'Cleaned Data'!H:H)</f>
        <v>585696</v>
      </c>
      <c r="C6" s="20">
        <f>SUMIF('Cleaned Data'!A:A,"*October*",'Cleaned Data'!H:H)</f>
        <v>450</v>
      </c>
      <c r="D6" s="20">
        <f t="shared" si="0"/>
        <v>-585246</v>
      </c>
      <c r="E6" s="18">
        <f t="shared" si="1"/>
        <v>-0.99923168333060153</v>
      </c>
      <c r="F6" s="29" t="str">
        <f>IF(ABS(E6)&gt;0.5,"⚠ ANOMALY","Normal")</f>
        <v>⚠ ANOMALY</v>
      </c>
    </row>
    <row r="7" spans="1:6" ht="15" customHeight="1" x14ac:dyDescent="0.35">
      <c r="A7" s="28" t="s">
        <v>92</v>
      </c>
      <c r="B7" s="20">
        <f>SUMIFS('Cleaned Data'!H:H,'Cleaned Data'!A:A,"*September*",'Cleaned Data'!B:B,"Facebook")</f>
        <v>585509</v>
      </c>
      <c r="C7" s="20">
        <f>SUMIFS('Cleaned Data'!H:H,'Cleaned Data'!A:A,"*October*",'Cleaned Data'!B:B,"Facebook")</f>
        <v>205</v>
      </c>
      <c r="D7" s="20">
        <f t="shared" si="0"/>
        <v>-585304</v>
      </c>
      <c r="E7" s="18">
        <f t="shared" si="1"/>
        <v>-0.99964987728625865</v>
      </c>
      <c r="F7" s="29" t="str">
        <f t="shared" si="2"/>
        <v>⚠ ANOMALY</v>
      </c>
    </row>
    <row r="8" spans="1:6" ht="15" customHeight="1" x14ac:dyDescent="0.35">
      <c r="A8" s="28" t="s">
        <v>93</v>
      </c>
      <c r="B8" s="20">
        <f>SUMIFS('Cleaned Data'!H:H,'Cleaned Data'!A:A,"*September*",'Cleaned Data'!B:B,"Instagram")</f>
        <v>187</v>
      </c>
      <c r="C8" s="20">
        <f>SUMIFS('Cleaned Data'!H:H,'Cleaned Data'!A:A,"*October*",'Cleaned Data'!B:B,"Instagram")</f>
        <v>245</v>
      </c>
      <c r="D8" s="20">
        <f t="shared" si="0"/>
        <v>58</v>
      </c>
      <c r="E8" s="18">
        <f t="shared" si="1"/>
        <v>0.31016042780748665</v>
      </c>
      <c r="F8" s="29" t="str">
        <f t="shared" si="2"/>
        <v>Normal</v>
      </c>
    </row>
    <row r="9" spans="1:6" ht="15" customHeight="1" x14ac:dyDescent="0.35">
      <c r="A9" s="28" t="s">
        <v>47</v>
      </c>
      <c r="B9" s="20">
        <f>IFERROR(SUMIF('Cleaned Data'!A:A,"*September*",'Cleaned Data'!H:H)/COUNTIF('Cleaned Data'!A:A,"*September*"),0)</f>
        <v>4840.4628099173551</v>
      </c>
      <c r="C9" s="20">
        <f>IFERROR(SUMIF('Cleaned Data'!A:A,"*October*",'Cleaned Data'!H:H)/COUNTIF('Cleaned Data'!A:A,"*October*"),0)</f>
        <v>3.3582089552238807</v>
      </c>
      <c r="D9" s="20">
        <f t="shared" si="0"/>
        <v>-4837.1046009621314</v>
      </c>
      <c r="E9" s="18">
        <f t="shared" si="1"/>
        <v>-0.99930622151494619</v>
      </c>
      <c r="F9" s="29" t="str">
        <f t="shared" si="2"/>
        <v>⚠ ANOMALY</v>
      </c>
    </row>
    <row r="10" spans="1:6" ht="15" customHeight="1" x14ac:dyDescent="0.35">
      <c r="A10" s="28" t="s">
        <v>94</v>
      </c>
      <c r="B10" s="20">
        <f>SUMIF('Cleaned Data'!A:A,"*September*",'Cleaned Data'!K:K)</f>
        <v>1997128</v>
      </c>
      <c r="C10" s="20">
        <f>SUMIF('Cleaned Data'!A:A,"*October*",'Cleaned Data'!K:K)</f>
        <v>15047</v>
      </c>
      <c r="D10" s="20">
        <f t="shared" si="0"/>
        <v>-1982081</v>
      </c>
      <c r="E10" s="18">
        <f t="shared" si="1"/>
        <v>-0.99246568071751029</v>
      </c>
      <c r="F10" s="29" t="str">
        <f t="shared" si="2"/>
        <v>⚠ ANOMALY</v>
      </c>
    </row>
    <row r="11" spans="1:6" ht="15" customHeight="1" x14ac:dyDescent="0.35">
      <c r="A11" s="28" t="s">
        <v>72</v>
      </c>
      <c r="B11" s="20">
        <f>SUMIF('Cleaned Data'!A:A,"*September*",'Cleaned Data'!L:L)</f>
        <v>1983814</v>
      </c>
      <c r="C11" s="20">
        <f>SUMIF('Cleaned Data'!A:A,"*October*",'Cleaned Data'!L:L)</f>
        <v>14573</v>
      </c>
      <c r="D11" s="20">
        <f t="shared" si="0"/>
        <v>-1969241</v>
      </c>
      <c r="E11" s="18">
        <f t="shared" si="1"/>
        <v>-0.99265404922034017</v>
      </c>
      <c r="F11" s="29" t="str">
        <f t="shared" si="2"/>
        <v>⚠ ANOMALY</v>
      </c>
    </row>
    <row r="14" spans="1:6" ht="15" customHeight="1" x14ac:dyDescent="0.35">
      <c r="A14" s="220" t="s">
        <v>95</v>
      </c>
      <c r="B14" s="220"/>
      <c r="C14" s="220"/>
      <c r="D14" s="220"/>
      <c r="E14" s="220"/>
      <c r="F14" s="220"/>
    </row>
    <row r="15" spans="1:6" ht="15" customHeight="1" x14ac:dyDescent="0.35">
      <c r="A15" s="2" t="s">
        <v>66</v>
      </c>
      <c r="B15" s="2" t="s">
        <v>6</v>
      </c>
      <c r="C15" s="2" t="s">
        <v>2</v>
      </c>
      <c r="D15" s="2" t="s">
        <v>0</v>
      </c>
      <c r="E15" s="2" t="s">
        <v>1</v>
      </c>
      <c r="F15" s="2" t="s">
        <v>4</v>
      </c>
    </row>
    <row r="16" spans="1:6" ht="15" customHeight="1" x14ac:dyDescent="0.35">
      <c r="A16" s="30">
        <v>1</v>
      </c>
      <c r="B16" s="31">
        <v>310752</v>
      </c>
      <c r="C16" s="30" t="s">
        <v>32</v>
      </c>
      <c r="D16" s="30" t="s">
        <v>39</v>
      </c>
      <c r="E16" s="30" t="s">
        <v>13</v>
      </c>
      <c r="F16" s="30" t="s">
        <v>16</v>
      </c>
    </row>
    <row r="17" spans="1:6" ht="15" customHeight="1" x14ac:dyDescent="0.35">
      <c r="A17" s="17">
        <v>2</v>
      </c>
      <c r="B17" s="23">
        <v>176204</v>
      </c>
      <c r="C17" s="17" t="s">
        <v>34</v>
      </c>
      <c r="D17" s="17" t="s">
        <v>39</v>
      </c>
      <c r="E17" s="17" t="s">
        <v>13</v>
      </c>
      <c r="F17" s="17" t="s">
        <v>16</v>
      </c>
    </row>
    <row r="18" spans="1:6" ht="15" customHeight="1" x14ac:dyDescent="0.35">
      <c r="A18" s="30">
        <v>3</v>
      </c>
      <c r="B18" s="31">
        <v>109838</v>
      </c>
      <c r="C18" s="30" t="s">
        <v>32</v>
      </c>
      <c r="D18" s="30" t="s">
        <v>37</v>
      </c>
      <c r="E18" s="30" t="s">
        <v>13</v>
      </c>
      <c r="F18" s="30" t="s">
        <v>16</v>
      </c>
    </row>
    <row r="19" spans="1:6" ht="15" customHeight="1" x14ac:dyDescent="0.35">
      <c r="A19" s="17">
        <v>4</v>
      </c>
      <c r="B19" s="23">
        <v>76171</v>
      </c>
      <c r="C19" s="17" t="s">
        <v>31</v>
      </c>
      <c r="D19" s="17" t="s">
        <v>39</v>
      </c>
      <c r="E19" s="17" t="s">
        <v>13</v>
      </c>
      <c r="F19" s="17" t="s">
        <v>16</v>
      </c>
    </row>
    <row r="20" spans="1:6" ht="15" customHeight="1" x14ac:dyDescent="0.35">
      <c r="A20" s="30">
        <v>5</v>
      </c>
      <c r="B20" s="31">
        <v>56549</v>
      </c>
      <c r="C20" s="30" t="s">
        <v>34</v>
      </c>
      <c r="D20" s="30" t="s">
        <v>12</v>
      </c>
      <c r="E20" s="30" t="s">
        <v>13</v>
      </c>
      <c r="F20" s="30" t="s">
        <v>16</v>
      </c>
    </row>
    <row r="21" spans="1:6" ht="15" customHeight="1" x14ac:dyDescent="0.35">
      <c r="A21" s="17">
        <v>6</v>
      </c>
      <c r="B21" s="23">
        <v>55537</v>
      </c>
      <c r="C21" s="17" t="s">
        <v>34</v>
      </c>
      <c r="D21" s="17" t="s">
        <v>37</v>
      </c>
      <c r="E21" s="17" t="s">
        <v>13</v>
      </c>
      <c r="F21" s="17" t="s">
        <v>16</v>
      </c>
    </row>
    <row r="22" spans="1:6" ht="15" customHeight="1" x14ac:dyDescent="0.35">
      <c r="A22" s="30">
        <v>7</v>
      </c>
      <c r="B22" s="31">
        <v>51184</v>
      </c>
      <c r="C22" s="30" t="s">
        <v>43</v>
      </c>
      <c r="D22" s="30" t="s">
        <v>42</v>
      </c>
      <c r="E22" s="30" t="s">
        <v>13</v>
      </c>
      <c r="F22" s="30" t="s">
        <v>21</v>
      </c>
    </row>
    <row r="23" spans="1:6" ht="15" customHeight="1" x14ac:dyDescent="0.35">
      <c r="A23" s="17">
        <v>8</v>
      </c>
      <c r="B23" s="23">
        <v>38454</v>
      </c>
      <c r="C23" s="17" t="s">
        <v>32</v>
      </c>
      <c r="D23" s="17" t="s">
        <v>12</v>
      </c>
      <c r="E23" s="17" t="s">
        <v>13</v>
      </c>
      <c r="F23" s="17" t="s">
        <v>16</v>
      </c>
    </row>
    <row r="24" spans="1:6" ht="15" customHeight="1" x14ac:dyDescent="0.35">
      <c r="A24" s="30">
        <v>9</v>
      </c>
      <c r="B24" s="31">
        <v>26004</v>
      </c>
      <c r="C24" s="30" t="s">
        <v>24</v>
      </c>
      <c r="D24" s="30" t="s">
        <v>42</v>
      </c>
      <c r="E24" s="30" t="s">
        <v>13</v>
      </c>
      <c r="F24" s="30" t="s">
        <v>21</v>
      </c>
    </row>
    <row r="25" spans="1:6" ht="15" customHeight="1" x14ac:dyDescent="0.35">
      <c r="A25" s="17">
        <v>10</v>
      </c>
      <c r="B25" s="23">
        <v>23984</v>
      </c>
      <c r="C25" s="17" t="s">
        <v>31</v>
      </c>
      <c r="D25" s="17" t="s">
        <v>37</v>
      </c>
      <c r="E25" s="17" t="s">
        <v>13</v>
      </c>
      <c r="F25" s="17" t="s">
        <v>16</v>
      </c>
    </row>
    <row r="27" spans="1:6" ht="15" customHeight="1" x14ac:dyDescent="0.35">
      <c r="A27" s="224" t="s">
        <v>96</v>
      </c>
      <c r="B27" s="224"/>
      <c r="C27" s="224"/>
      <c r="D27" s="224"/>
      <c r="E27" s="224"/>
      <c r="F27" s="224"/>
    </row>
  </sheetData>
  <mergeCells count="4">
    <mergeCell ref="A1:F1"/>
    <mergeCell ref="A3:F3"/>
    <mergeCell ref="A14:F14"/>
    <mergeCell ref="A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B4627-419A-4041-830C-EC9D8C2FCEA2}">
  <sheetPr>
    <tabColor rgb="FF9966FF"/>
  </sheetPr>
  <dimension ref="A2:F13"/>
  <sheetViews>
    <sheetView workbookViewId="0">
      <selection activeCell="A2" sqref="A2"/>
    </sheetView>
  </sheetViews>
  <sheetFormatPr defaultRowHeight="14.5" x14ac:dyDescent="0.35"/>
  <cols>
    <col min="1" max="1" width="34.54296875" customWidth="1"/>
    <col min="2" max="2" width="11.08984375" customWidth="1"/>
    <col min="3" max="3" width="18.1796875" customWidth="1"/>
    <col min="4" max="4" width="20.08984375" customWidth="1"/>
    <col min="5" max="5" width="14.7265625" customWidth="1"/>
    <col min="6" max="6" width="15.81640625" bestFit="1" customWidth="1"/>
  </cols>
  <sheetData>
    <row r="2" spans="1:6" x14ac:dyDescent="0.35">
      <c r="A2" s="168" t="s">
        <v>1</v>
      </c>
      <c r="B2" s="168" t="s">
        <v>124</v>
      </c>
      <c r="C2" s="168" t="s">
        <v>125</v>
      </c>
      <c r="D2" s="168" t="s">
        <v>126</v>
      </c>
      <c r="E2" s="168" t="s">
        <v>127</v>
      </c>
      <c r="F2" s="168" t="s">
        <v>128</v>
      </c>
    </row>
    <row r="3" spans="1:6" x14ac:dyDescent="0.35">
      <c r="A3" s="169" t="s">
        <v>13</v>
      </c>
      <c r="B3" s="170">
        <f>COUNTIFS(DATA!$A:$A,"October*",DATA!$B:$B,"Facebook")</f>
        <v>70</v>
      </c>
      <c r="C3" s="170">
        <f>IFERROR(SUMIFS(DATA!$H:$H,DATA!$A:$A,"October*",DATA!$B:$B,"Facebook"),0)</f>
        <v>205</v>
      </c>
      <c r="D3" s="171">
        <f>IFERROR(C3/B3,0)</f>
        <v>2.9285714285714284</v>
      </c>
      <c r="E3" s="172">
        <f>IFERROR(AVERAGEIFS(DATA!$M:$M,DATA!$A:$A,"October*",DATA!$B:$B,"Facebook")*100,0)</f>
        <v>6.3324600164371709</v>
      </c>
      <c r="F3" s="170">
        <f>IFERROR(SUMIFS(DATA!$K:$K,DATA!$A:$A,"October*",DATA!$B:$B,"Facebook"),0)</f>
        <v>12136</v>
      </c>
    </row>
    <row r="4" spans="1:6" ht="26.5" customHeight="1" x14ac:dyDescent="0.35">
      <c r="A4" s="173" t="s">
        <v>36</v>
      </c>
      <c r="B4" s="174">
        <f>COUNTIFS(DATA!$A:$A,"October*",DATA!$B:$B,"Instagram")</f>
        <v>64</v>
      </c>
      <c r="C4" s="174">
        <f>IFERROR(SUMIFS(DATA!$H:$H,DATA!$A:$A,"October*",DATA!$B:$B,"Instagram"),0)</f>
        <v>245</v>
      </c>
      <c r="D4" s="175">
        <f>IFERROR(C4/B4,0)</f>
        <v>3.828125</v>
      </c>
      <c r="E4" s="176">
        <f>IFERROR(AVERAGEIFS(DATA!$M:$M,DATA!$A:$A,"October*",DATA!$B:$B,"Instagram")*100,0)</f>
        <v>10.660662838121359</v>
      </c>
      <c r="F4" s="174">
        <f>IFERROR(SUMIFS(DATA!$K:$K,DATA!$A:$A,"October*",DATA!$B:$B,"Instagram"),0)</f>
        <v>2911</v>
      </c>
    </row>
    <row r="7" spans="1:6" ht="15.5" x14ac:dyDescent="0.35">
      <c r="A7" s="184" t="s">
        <v>136</v>
      </c>
      <c r="B7" s="156"/>
      <c r="C7" s="156"/>
      <c r="D7" s="156"/>
      <c r="E7" s="156"/>
      <c r="F7" s="156"/>
    </row>
    <row r="8" spans="1:6" x14ac:dyDescent="0.35">
      <c r="A8" s="185" t="s">
        <v>129</v>
      </c>
      <c r="B8" s="186" t="s">
        <v>46</v>
      </c>
      <c r="C8" s="186" t="s">
        <v>130</v>
      </c>
      <c r="D8" s="186" t="s">
        <v>131</v>
      </c>
      <c r="E8" s="186" t="s">
        <v>132</v>
      </c>
      <c r="F8" s="187" t="s">
        <v>133</v>
      </c>
    </row>
    <row r="9" spans="1:6" x14ac:dyDescent="0.35">
      <c r="A9" s="188" t="s">
        <v>134</v>
      </c>
      <c r="B9" s="110">
        <v>134</v>
      </c>
      <c r="C9" s="189">
        <v>4840.5</v>
      </c>
      <c r="D9" s="190">
        <f>B9*C9</f>
        <v>648627</v>
      </c>
      <c r="E9" s="110">
        <v>450</v>
      </c>
      <c r="F9" s="195">
        <f>D9-E9</f>
        <v>648177</v>
      </c>
    </row>
    <row r="10" spans="1:6" x14ac:dyDescent="0.35">
      <c r="A10" s="191" t="s">
        <v>135</v>
      </c>
      <c r="B10" s="192">
        <v>134</v>
      </c>
      <c r="C10" s="193">
        <v>1646.5</v>
      </c>
      <c r="D10" s="194">
        <f>B10*C10</f>
        <v>220631</v>
      </c>
      <c r="E10" s="192">
        <v>450</v>
      </c>
      <c r="F10" s="196">
        <f>D10-E10</f>
        <v>220181</v>
      </c>
    </row>
    <row r="13" spans="1:6" x14ac:dyDescent="0.35">
      <c r="A13" t="s">
        <v>137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0E4E-FFEE-43D4-933A-25F4E1E5DB8A}">
  <dimension ref="A1:C12"/>
  <sheetViews>
    <sheetView workbookViewId="0">
      <selection activeCell="H16" sqref="H16"/>
    </sheetView>
  </sheetViews>
  <sheetFormatPr defaultRowHeight="14.5" x14ac:dyDescent="0.35"/>
  <cols>
    <col min="2" max="2" width="21.90625" customWidth="1"/>
    <col min="3" max="3" width="41" customWidth="1"/>
  </cols>
  <sheetData>
    <row r="1" spans="1:3" x14ac:dyDescent="0.35">
      <c r="A1" s="225" t="s">
        <v>108</v>
      </c>
      <c r="B1" s="226"/>
      <c r="C1" s="226"/>
    </row>
    <row r="3" spans="1:3" x14ac:dyDescent="0.35">
      <c r="A3" s="227" t="s">
        <v>109</v>
      </c>
      <c r="B3" s="226"/>
      <c r="C3" s="226"/>
    </row>
    <row r="4" spans="1:3" x14ac:dyDescent="0.35">
      <c r="B4" s="60" t="s">
        <v>110</v>
      </c>
      <c r="C4" s="151">
        <f>COUNTA('[2]1. Raw Data'!A2:A1000)</f>
        <v>649</v>
      </c>
    </row>
    <row r="5" spans="1:3" x14ac:dyDescent="0.35">
      <c r="B5" s="152" t="s">
        <v>91</v>
      </c>
      <c r="C5" s="153">
        <f>SUM('[2]1. Raw Data'!J:J)</f>
        <v>1068580</v>
      </c>
    </row>
    <row r="6" spans="1:3" x14ac:dyDescent="0.35">
      <c r="B6" s="60" t="s">
        <v>94</v>
      </c>
      <c r="C6" s="151">
        <f>SUM('[2]1. Raw Data'!M:M)</f>
        <v>9179500</v>
      </c>
    </row>
    <row r="7" spans="1:3" x14ac:dyDescent="0.35">
      <c r="B7" s="152" t="s">
        <v>72</v>
      </c>
      <c r="C7" s="153">
        <f>SUM('[2]1. Raw Data'!N:N)</f>
        <v>6192544</v>
      </c>
    </row>
    <row r="8" spans="1:3" x14ac:dyDescent="0.35">
      <c r="B8" s="60" t="s">
        <v>111</v>
      </c>
      <c r="C8" s="154">
        <f>AVERAGE('[2]1. Raw Data'!O:O)</f>
        <v>7.9959051228760333E-2</v>
      </c>
    </row>
    <row r="9" spans="1:3" x14ac:dyDescent="0.35">
      <c r="B9" s="152" t="s">
        <v>112</v>
      </c>
      <c r="C9" s="153" t="s">
        <v>113</v>
      </c>
    </row>
    <row r="10" spans="1:3" x14ac:dyDescent="0.35">
      <c r="B10" s="60" t="s">
        <v>114</v>
      </c>
      <c r="C10" s="151" t="s">
        <v>115</v>
      </c>
    </row>
    <row r="11" spans="1:3" x14ac:dyDescent="0.35">
      <c r="B11" s="152" t="s">
        <v>116</v>
      </c>
      <c r="C11" s="153" t="s">
        <v>117</v>
      </c>
    </row>
    <row r="12" spans="1:3" x14ac:dyDescent="0.35">
      <c r="B12" s="60" t="s">
        <v>118</v>
      </c>
      <c r="C12" s="151" t="s">
        <v>119</v>
      </c>
    </row>
  </sheetData>
  <mergeCells count="2">
    <mergeCell ref="A1:C1"/>
    <mergeCell ref="A3:C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D0D5-DD96-4896-ADCE-FCA6677CD38F}">
  <dimension ref="A1:M650"/>
  <sheetViews>
    <sheetView workbookViewId="0"/>
  </sheetViews>
  <sheetFormatPr defaultRowHeight="14.5" x14ac:dyDescent="0.35"/>
  <cols>
    <col min="1" max="1" width="10.36328125" bestFit="1" customWidth="1"/>
    <col min="2" max="2" width="9.1796875" bestFit="1" customWidth="1"/>
    <col min="3" max="3" width="14.453125" bestFit="1" customWidth="1"/>
    <col min="4" max="4" width="6.90625" bestFit="1" customWidth="1"/>
    <col min="5" max="5" width="13.26953125" bestFit="1" customWidth="1"/>
    <col min="6" max="6" width="15.36328125" bestFit="1" customWidth="1"/>
    <col min="7" max="7" width="18.36328125" bestFit="1" customWidth="1"/>
    <col min="8" max="8" width="12" bestFit="1" customWidth="1"/>
    <col min="9" max="9" width="9.90625" bestFit="1" customWidth="1"/>
    <col min="10" max="10" width="4.08984375" bestFit="1" customWidth="1"/>
    <col min="11" max="11" width="10.90625" bestFit="1" customWidth="1"/>
    <col min="12" max="12" width="6.81640625" bestFit="1" customWidth="1"/>
    <col min="13" max="13" width="16.36328125" bestFit="1" customWidth="1"/>
  </cols>
  <sheetData>
    <row r="1" spans="1:13" x14ac:dyDescent="0.35">
      <c r="A1" s="157" t="s">
        <v>0</v>
      </c>
      <c r="B1" s="157" t="s">
        <v>1</v>
      </c>
      <c r="C1" s="157" t="s">
        <v>140</v>
      </c>
      <c r="D1" s="157" t="s">
        <v>3</v>
      </c>
      <c r="E1" s="157" t="s">
        <v>141</v>
      </c>
      <c r="F1" s="157" t="s">
        <v>4</v>
      </c>
      <c r="G1" s="157" t="s">
        <v>5</v>
      </c>
      <c r="H1" s="157" t="s">
        <v>6</v>
      </c>
      <c r="I1" s="157" t="s">
        <v>7</v>
      </c>
      <c r="J1" s="157" t="s">
        <v>142</v>
      </c>
      <c r="K1" s="157" t="s">
        <v>9</v>
      </c>
      <c r="L1" s="157" t="s">
        <v>10</v>
      </c>
      <c r="M1" s="157" t="s">
        <v>143</v>
      </c>
    </row>
    <row r="2" spans="1:13" x14ac:dyDescent="0.35">
      <c r="A2" t="s">
        <v>144</v>
      </c>
      <c r="B2" t="s">
        <v>13</v>
      </c>
      <c r="C2" t="s">
        <v>145</v>
      </c>
      <c r="D2" t="s">
        <v>146</v>
      </c>
      <c r="E2" t="s">
        <v>147</v>
      </c>
      <c r="F2" t="s">
        <v>28</v>
      </c>
      <c r="G2" t="s">
        <v>29</v>
      </c>
      <c r="H2" s="46">
        <v>2</v>
      </c>
      <c r="I2" s="46">
        <v>0</v>
      </c>
      <c r="J2" s="46">
        <v>1</v>
      </c>
      <c r="K2" s="46">
        <v>4</v>
      </c>
      <c r="L2" s="46">
        <v>4</v>
      </c>
      <c r="M2" s="48">
        <v>0.5</v>
      </c>
    </row>
    <row r="3" spans="1:13" x14ac:dyDescent="0.35">
      <c r="A3" t="s">
        <v>144</v>
      </c>
      <c r="B3" t="s">
        <v>13</v>
      </c>
      <c r="C3" t="s">
        <v>148</v>
      </c>
      <c r="D3" t="s">
        <v>146</v>
      </c>
      <c r="E3" t="s">
        <v>147</v>
      </c>
      <c r="F3" t="s">
        <v>16</v>
      </c>
      <c r="G3" t="s">
        <v>17</v>
      </c>
      <c r="H3" s="46">
        <v>1</v>
      </c>
      <c r="I3" s="46">
        <v>0</v>
      </c>
      <c r="J3" s="46">
        <v>0</v>
      </c>
      <c r="K3" s="46">
        <v>165</v>
      </c>
      <c r="L3" s="46">
        <v>164</v>
      </c>
      <c r="M3" s="48">
        <v>6.0975609756097598E-3</v>
      </c>
    </row>
    <row r="4" spans="1:13" x14ac:dyDescent="0.35">
      <c r="A4" t="s">
        <v>144</v>
      </c>
      <c r="B4" t="s">
        <v>13</v>
      </c>
      <c r="C4" t="s">
        <v>149</v>
      </c>
      <c r="D4" t="s">
        <v>146</v>
      </c>
      <c r="E4" t="s">
        <v>147</v>
      </c>
      <c r="F4" t="s">
        <v>16</v>
      </c>
      <c r="G4" t="s">
        <v>17</v>
      </c>
      <c r="H4" s="46">
        <v>1</v>
      </c>
      <c r="I4" s="46">
        <v>0</v>
      </c>
      <c r="J4" s="46">
        <v>1</v>
      </c>
      <c r="K4" s="46">
        <v>187</v>
      </c>
      <c r="L4" s="46">
        <v>186</v>
      </c>
      <c r="M4" s="48">
        <v>5.3763440860215101E-3</v>
      </c>
    </row>
    <row r="5" spans="1:13" x14ac:dyDescent="0.35">
      <c r="A5" t="s">
        <v>144</v>
      </c>
      <c r="B5" t="s">
        <v>13</v>
      </c>
      <c r="C5" t="s">
        <v>150</v>
      </c>
      <c r="D5" t="s">
        <v>146</v>
      </c>
      <c r="E5" t="s">
        <v>147</v>
      </c>
      <c r="F5" t="s">
        <v>16</v>
      </c>
      <c r="G5" t="s">
        <v>17</v>
      </c>
      <c r="H5" s="46">
        <v>2</v>
      </c>
      <c r="I5" s="46">
        <v>0</v>
      </c>
      <c r="J5" s="46">
        <v>0</v>
      </c>
      <c r="K5" s="46">
        <v>66</v>
      </c>
      <c r="L5" s="46">
        <v>66</v>
      </c>
      <c r="M5" s="48">
        <v>3.03030303030303E-2</v>
      </c>
    </row>
    <row r="6" spans="1:13" x14ac:dyDescent="0.35">
      <c r="A6" t="s">
        <v>144</v>
      </c>
      <c r="B6" t="s">
        <v>13</v>
      </c>
      <c r="C6" t="s">
        <v>151</v>
      </c>
      <c r="D6" t="s">
        <v>146</v>
      </c>
      <c r="E6" t="s">
        <v>147</v>
      </c>
      <c r="F6" t="s">
        <v>16</v>
      </c>
      <c r="G6" t="s">
        <v>17</v>
      </c>
      <c r="H6" s="46">
        <v>0</v>
      </c>
      <c r="I6" s="46">
        <v>0</v>
      </c>
      <c r="J6" s="46">
        <v>0</v>
      </c>
      <c r="K6" s="46">
        <v>28</v>
      </c>
      <c r="L6" s="46">
        <v>28</v>
      </c>
      <c r="M6" s="48">
        <v>0</v>
      </c>
    </row>
    <row r="7" spans="1:13" x14ac:dyDescent="0.35">
      <c r="A7" t="s">
        <v>144</v>
      </c>
      <c r="B7" t="s">
        <v>13</v>
      </c>
      <c r="C7" t="s">
        <v>152</v>
      </c>
      <c r="D7" t="s">
        <v>146</v>
      </c>
      <c r="E7" t="s">
        <v>147</v>
      </c>
      <c r="F7" t="s">
        <v>16</v>
      </c>
      <c r="G7" t="s">
        <v>17</v>
      </c>
      <c r="H7" s="46">
        <v>3</v>
      </c>
      <c r="I7" s="46">
        <v>0</v>
      </c>
      <c r="J7" s="46">
        <v>2</v>
      </c>
      <c r="K7" s="46">
        <v>26</v>
      </c>
      <c r="L7" s="46">
        <v>26</v>
      </c>
      <c r="M7" s="48">
        <v>0.115384615384615</v>
      </c>
    </row>
    <row r="8" spans="1:13" x14ac:dyDescent="0.35">
      <c r="A8" t="s">
        <v>144</v>
      </c>
      <c r="B8" t="s">
        <v>13</v>
      </c>
      <c r="C8" t="s">
        <v>153</v>
      </c>
      <c r="D8" t="s">
        <v>146</v>
      </c>
      <c r="E8" t="s">
        <v>147</v>
      </c>
      <c r="F8" t="s">
        <v>16</v>
      </c>
      <c r="G8" t="s">
        <v>17</v>
      </c>
      <c r="H8" s="46">
        <v>2</v>
      </c>
      <c r="I8" s="46">
        <v>0</v>
      </c>
      <c r="J8" s="46">
        <v>0</v>
      </c>
      <c r="K8" s="46">
        <v>18</v>
      </c>
      <c r="L8" s="46">
        <v>17</v>
      </c>
      <c r="M8" s="48">
        <v>0.11764705882352899</v>
      </c>
    </row>
    <row r="9" spans="1:13" x14ac:dyDescent="0.35">
      <c r="A9" t="s">
        <v>144</v>
      </c>
      <c r="B9" t="s">
        <v>13</v>
      </c>
      <c r="C9" t="s">
        <v>154</v>
      </c>
      <c r="D9" t="s">
        <v>146</v>
      </c>
      <c r="E9" t="s">
        <v>147</v>
      </c>
      <c r="F9" t="s">
        <v>16</v>
      </c>
      <c r="G9" t="s">
        <v>17</v>
      </c>
      <c r="H9" s="46">
        <v>0</v>
      </c>
      <c r="I9" s="46">
        <v>0</v>
      </c>
      <c r="J9" s="46">
        <v>0</v>
      </c>
      <c r="K9" s="46">
        <v>10</v>
      </c>
      <c r="L9" s="46">
        <v>10</v>
      </c>
      <c r="M9" s="48">
        <v>0</v>
      </c>
    </row>
    <row r="10" spans="1:13" x14ac:dyDescent="0.35">
      <c r="A10" t="s">
        <v>144</v>
      </c>
      <c r="B10" t="s">
        <v>13</v>
      </c>
      <c r="C10" t="s">
        <v>155</v>
      </c>
      <c r="D10" t="s">
        <v>146</v>
      </c>
      <c r="E10" t="s">
        <v>147</v>
      </c>
      <c r="F10" t="s">
        <v>16</v>
      </c>
      <c r="G10" t="s">
        <v>17</v>
      </c>
      <c r="H10" s="46">
        <v>0</v>
      </c>
      <c r="I10" s="46">
        <v>0</v>
      </c>
      <c r="J10" s="46">
        <v>0</v>
      </c>
      <c r="K10" s="46">
        <v>69</v>
      </c>
      <c r="L10" s="46">
        <v>69</v>
      </c>
      <c r="M10" s="48">
        <v>0</v>
      </c>
    </row>
    <row r="11" spans="1:13" x14ac:dyDescent="0.35">
      <c r="A11" t="s">
        <v>144</v>
      </c>
      <c r="B11" t="s">
        <v>13</v>
      </c>
      <c r="C11" t="s">
        <v>156</v>
      </c>
      <c r="D11" t="s">
        <v>146</v>
      </c>
      <c r="E11" t="s">
        <v>147</v>
      </c>
      <c r="F11" t="s">
        <v>16</v>
      </c>
      <c r="G11" t="s">
        <v>17</v>
      </c>
      <c r="H11" s="46">
        <v>4</v>
      </c>
      <c r="I11" s="46">
        <v>0</v>
      </c>
      <c r="J11" s="46">
        <v>3</v>
      </c>
      <c r="K11" s="46">
        <v>29</v>
      </c>
      <c r="L11" s="46">
        <v>29</v>
      </c>
      <c r="M11" s="48">
        <v>0.13793103448275901</v>
      </c>
    </row>
    <row r="12" spans="1:13" x14ac:dyDescent="0.35">
      <c r="A12" t="s">
        <v>144</v>
      </c>
      <c r="B12" t="s">
        <v>13</v>
      </c>
      <c r="C12" t="s">
        <v>157</v>
      </c>
      <c r="D12" t="s">
        <v>146</v>
      </c>
      <c r="E12" t="s">
        <v>147</v>
      </c>
      <c r="F12" t="s">
        <v>16</v>
      </c>
      <c r="G12" t="s">
        <v>17</v>
      </c>
      <c r="H12" s="46">
        <v>4</v>
      </c>
      <c r="I12" s="46">
        <v>0</v>
      </c>
      <c r="J12" s="46">
        <v>1</v>
      </c>
      <c r="K12" s="46">
        <v>833</v>
      </c>
      <c r="L12" s="46">
        <v>788</v>
      </c>
      <c r="M12" s="48">
        <v>5.0761421319797002E-3</v>
      </c>
    </row>
    <row r="13" spans="1:13" x14ac:dyDescent="0.35">
      <c r="A13" t="s">
        <v>144</v>
      </c>
      <c r="B13" t="s">
        <v>13</v>
      </c>
      <c r="C13" t="s">
        <v>158</v>
      </c>
      <c r="D13" t="s">
        <v>146</v>
      </c>
      <c r="E13" t="s">
        <v>147</v>
      </c>
      <c r="F13" t="s">
        <v>16</v>
      </c>
      <c r="G13" t="s">
        <v>17</v>
      </c>
      <c r="H13" s="46">
        <v>1</v>
      </c>
      <c r="I13" s="46">
        <v>0</v>
      </c>
      <c r="J13" s="46">
        <v>0</v>
      </c>
      <c r="K13" s="46">
        <v>630</v>
      </c>
      <c r="L13" s="46">
        <v>630</v>
      </c>
      <c r="M13" s="48">
        <v>1.5873015873015899E-3</v>
      </c>
    </row>
    <row r="14" spans="1:13" x14ac:dyDescent="0.35">
      <c r="A14" t="s">
        <v>144</v>
      </c>
      <c r="B14" t="s">
        <v>13</v>
      </c>
      <c r="C14" t="s">
        <v>149</v>
      </c>
      <c r="D14" t="s">
        <v>146</v>
      </c>
      <c r="E14" t="s">
        <v>159</v>
      </c>
      <c r="F14" t="s">
        <v>18</v>
      </c>
      <c r="G14" t="s">
        <v>19</v>
      </c>
      <c r="H14" s="46">
        <v>0</v>
      </c>
      <c r="I14" s="46">
        <v>0</v>
      </c>
      <c r="J14" s="46">
        <v>0</v>
      </c>
      <c r="K14" s="46">
        <v>186</v>
      </c>
      <c r="L14" s="46">
        <v>184</v>
      </c>
      <c r="M14" s="48">
        <v>0</v>
      </c>
    </row>
    <row r="15" spans="1:13" x14ac:dyDescent="0.35">
      <c r="A15" t="s">
        <v>144</v>
      </c>
      <c r="B15" t="s">
        <v>13</v>
      </c>
      <c r="C15" t="s">
        <v>150</v>
      </c>
      <c r="D15" t="s">
        <v>146</v>
      </c>
      <c r="E15" t="s">
        <v>159</v>
      </c>
      <c r="F15" t="s">
        <v>18</v>
      </c>
      <c r="G15" t="s">
        <v>19</v>
      </c>
      <c r="H15" s="46">
        <v>0</v>
      </c>
      <c r="I15" s="46">
        <v>0</v>
      </c>
      <c r="J15" s="46">
        <v>0</v>
      </c>
      <c r="K15" s="46">
        <v>103</v>
      </c>
      <c r="L15" s="46">
        <v>101</v>
      </c>
      <c r="M15" s="48">
        <v>0</v>
      </c>
    </row>
    <row r="16" spans="1:13" x14ac:dyDescent="0.35">
      <c r="A16" t="s">
        <v>144</v>
      </c>
      <c r="B16" t="s">
        <v>13</v>
      </c>
      <c r="C16" t="s">
        <v>151</v>
      </c>
      <c r="D16" t="s">
        <v>146</v>
      </c>
      <c r="E16" t="s">
        <v>159</v>
      </c>
      <c r="F16" t="s">
        <v>18</v>
      </c>
      <c r="G16" t="s">
        <v>19</v>
      </c>
      <c r="H16" s="46">
        <v>4</v>
      </c>
      <c r="I16" s="46">
        <v>0</v>
      </c>
      <c r="J16" s="46">
        <v>1</v>
      </c>
      <c r="K16" s="46">
        <v>54</v>
      </c>
      <c r="L16" s="46">
        <v>52</v>
      </c>
      <c r="M16" s="48">
        <v>7.69230769230769E-2</v>
      </c>
    </row>
    <row r="17" spans="1:13" x14ac:dyDescent="0.35">
      <c r="A17" t="s">
        <v>144</v>
      </c>
      <c r="B17" t="s">
        <v>13</v>
      </c>
      <c r="C17" t="s">
        <v>152</v>
      </c>
      <c r="D17" t="s">
        <v>146</v>
      </c>
      <c r="E17" t="s">
        <v>159</v>
      </c>
      <c r="F17" t="s">
        <v>18</v>
      </c>
      <c r="G17" t="s">
        <v>19</v>
      </c>
      <c r="H17" s="46">
        <v>7</v>
      </c>
      <c r="I17" s="46">
        <v>0</v>
      </c>
      <c r="J17" s="46">
        <v>4</v>
      </c>
      <c r="K17" s="46">
        <v>33</v>
      </c>
      <c r="L17" s="46">
        <v>31</v>
      </c>
      <c r="M17" s="48">
        <v>0.225806451612903</v>
      </c>
    </row>
    <row r="18" spans="1:13" x14ac:dyDescent="0.35">
      <c r="A18" t="s">
        <v>144</v>
      </c>
      <c r="B18" t="s">
        <v>13</v>
      </c>
      <c r="C18" t="s">
        <v>153</v>
      </c>
      <c r="D18" t="s">
        <v>146</v>
      </c>
      <c r="E18" t="s">
        <v>159</v>
      </c>
      <c r="F18" t="s">
        <v>18</v>
      </c>
      <c r="G18" t="s">
        <v>19</v>
      </c>
      <c r="H18" s="46">
        <v>0</v>
      </c>
      <c r="I18" s="46">
        <v>0</v>
      </c>
      <c r="J18" s="46">
        <v>0</v>
      </c>
      <c r="K18" s="46">
        <v>32</v>
      </c>
      <c r="L18" s="46">
        <v>29</v>
      </c>
      <c r="M18" s="48">
        <v>0</v>
      </c>
    </row>
    <row r="19" spans="1:13" x14ac:dyDescent="0.35">
      <c r="A19" t="s">
        <v>144</v>
      </c>
      <c r="B19" t="s">
        <v>13</v>
      </c>
      <c r="C19" t="s">
        <v>154</v>
      </c>
      <c r="D19" t="s">
        <v>146</v>
      </c>
      <c r="E19" t="s">
        <v>159</v>
      </c>
      <c r="F19" t="s">
        <v>18</v>
      </c>
      <c r="G19" t="s">
        <v>19</v>
      </c>
      <c r="H19" s="46">
        <v>0</v>
      </c>
      <c r="I19" s="46">
        <v>0</v>
      </c>
      <c r="J19" s="46">
        <v>0</v>
      </c>
      <c r="K19" s="46">
        <v>9</v>
      </c>
      <c r="L19" s="46">
        <v>8</v>
      </c>
      <c r="M19" s="48">
        <v>0</v>
      </c>
    </row>
    <row r="20" spans="1:13" x14ac:dyDescent="0.35">
      <c r="A20" t="s">
        <v>144</v>
      </c>
      <c r="B20" t="s">
        <v>13</v>
      </c>
      <c r="C20" t="s">
        <v>148</v>
      </c>
      <c r="D20" t="s">
        <v>146</v>
      </c>
      <c r="E20" t="s">
        <v>159</v>
      </c>
      <c r="F20" t="s">
        <v>18</v>
      </c>
      <c r="G20" t="s">
        <v>19</v>
      </c>
      <c r="H20" s="46">
        <v>2</v>
      </c>
      <c r="I20" s="46">
        <v>0</v>
      </c>
      <c r="J20" s="46">
        <v>0</v>
      </c>
      <c r="K20" s="46">
        <v>224</v>
      </c>
      <c r="L20" s="46">
        <v>221</v>
      </c>
      <c r="M20" s="48">
        <v>9.0497737556561094E-3</v>
      </c>
    </row>
    <row r="21" spans="1:13" x14ac:dyDescent="0.35">
      <c r="A21" t="s">
        <v>144</v>
      </c>
      <c r="B21" t="s">
        <v>13</v>
      </c>
      <c r="C21" t="s">
        <v>155</v>
      </c>
      <c r="D21" t="s">
        <v>146</v>
      </c>
      <c r="E21" t="s">
        <v>159</v>
      </c>
      <c r="F21" t="s">
        <v>18</v>
      </c>
      <c r="G21" t="s">
        <v>19</v>
      </c>
      <c r="H21" s="46">
        <v>0</v>
      </c>
      <c r="I21" s="46">
        <v>0</v>
      </c>
      <c r="J21" s="46">
        <v>0</v>
      </c>
      <c r="K21" s="46">
        <v>103</v>
      </c>
      <c r="L21" s="46">
        <v>103</v>
      </c>
      <c r="M21" s="48">
        <v>0</v>
      </c>
    </row>
    <row r="22" spans="1:13" x14ac:dyDescent="0.35">
      <c r="A22" t="s">
        <v>144</v>
      </c>
      <c r="B22" t="s">
        <v>13</v>
      </c>
      <c r="C22" t="s">
        <v>156</v>
      </c>
      <c r="D22" t="s">
        <v>146</v>
      </c>
      <c r="E22" t="s">
        <v>159</v>
      </c>
      <c r="F22" t="s">
        <v>18</v>
      </c>
      <c r="G22" t="s">
        <v>19</v>
      </c>
      <c r="H22" s="46">
        <v>4</v>
      </c>
      <c r="I22" s="46">
        <v>0</v>
      </c>
      <c r="J22" s="46">
        <v>3</v>
      </c>
      <c r="K22" s="46">
        <v>32</v>
      </c>
      <c r="L22" s="46">
        <v>32</v>
      </c>
      <c r="M22" s="48">
        <v>0.125</v>
      </c>
    </row>
    <row r="23" spans="1:13" x14ac:dyDescent="0.35">
      <c r="A23" t="s">
        <v>144</v>
      </c>
      <c r="B23" t="s">
        <v>13</v>
      </c>
      <c r="C23" t="s">
        <v>157</v>
      </c>
      <c r="D23" t="s">
        <v>146</v>
      </c>
      <c r="E23" t="s">
        <v>159</v>
      </c>
      <c r="F23" t="s">
        <v>18</v>
      </c>
      <c r="G23" t="s">
        <v>19</v>
      </c>
      <c r="H23" s="46">
        <v>7</v>
      </c>
      <c r="I23" s="46">
        <v>0</v>
      </c>
      <c r="J23" s="46">
        <v>2</v>
      </c>
      <c r="K23" s="46">
        <v>929</v>
      </c>
      <c r="L23" s="46">
        <v>866</v>
      </c>
      <c r="M23" s="48">
        <v>8.0831408775981495E-3</v>
      </c>
    </row>
    <row r="24" spans="1:13" x14ac:dyDescent="0.35">
      <c r="A24" t="s">
        <v>144</v>
      </c>
      <c r="B24" t="s">
        <v>13</v>
      </c>
      <c r="C24" t="s">
        <v>158</v>
      </c>
      <c r="D24" t="s">
        <v>146</v>
      </c>
      <c r="E24" t="s">
        <v>159</v>
      </c>
      <c r="F24" t="s">
        <v>18</v>
      </c>
      <c r="G24" t="s">
        <v>19</v>
      </c>
      <c r="H24" s="46">
        <v>9</v>
      </c>
      <c r="I24" s="46">
        <v>0</v>
      </c>
      <c r="J24" s="46">
        <v>3</v>
      </c>
      <c r="K24" s="46">
        <v>949</v>
      </c>
      <c r="L24" s="46">
        <v>934</v>
      </c>
      <c r="M24" s="48">
        <v>9.6359743040685206E-3</v>
      </c>
    </row>
    <row r="25" spans="1:13" x14ac:dyDescent="0.35">
      <c r="A25" t="s">
        <v>144</v>
      </c>
      <c r="B25" t="s">
        <v>13</v>
      </c>
      <c r="C25" t="s">
        <v>154</v>
      </c>
      <c r="D25" t="s">
        <v>146</v>
      </c>
      <c r="E25" t="s">
        <v>160</v>
      </c>
      <c r="F25" t="s">
        <v>16</v>
      </c>
      <c r="G25" t="s">
        <v>20</v>
      </c>
      <c r="H25" s="46">
        <v>2</v>
      </c>
      <c r="I25" s="46">
        <v>0</v>
      </c>
      <c r="J25" s="46">
        <v>1</v>
      </c>
      <c r="K25" s="46">
        <v>22</v>
      </c>
      <c r="L25" s="46">
        <v>21</v>
      </c>
      <c r="M25" s="48">
        <v>9.5238095238095205E-2</v>
      </c>
    </row>
    <row r="26" spans="1:13" x14ac:dyDescent="0.35">
      <c r="A26" t="s">
        <v>144</v>
      </c>
      <c r="B26" t="s">
        <v>13</v>
      </c>
      <c r="C26" t="s">
        <v>149</v>
      </c>
      <c r="D26" t="s">
        <v>146</v>
      </c>
      <c r="E26" t="s">
        <v>160</v>
      </c>
      <c r="F26" t="s">
        <v>16</v>
      </c>
      <c r="G26" t="s">
        <v>20</v>
      </c>
      <c r="H26" s="46">
        <v>0</v>
      </c>
      <c r="I26" s="46">
        <v>0</v>
      </c>
      <c r="J26" s="46">
        <v>0</v>
      </c>
      <c r="K26" s="46">
        <v>204</v>
      </c>
      <c r="L26" s="46">
        <v>201</v>
      </c>
      <c r="M26" s="48">
        <v>0</v>
      </c>
    </row>
    <row r="27" spans="1:13" x14ac:dyDescent="0.35">
      <c r="A27" t="s">
        <v>144</v>
      </c>
      <c r="B27" t="s">
        <v>13</v>
      </c>
      <c r="C27" t="s">
        <v>152</v>
      </c>
      <c r="D27" t="s">
        <v>146</v>
      </c>
      <c r="E27" t="s">
        <v>160</v>
      </c>
      <c r="F27" t="s">
        <v>16</v>
      </c>
      <c r="G27" t="s">
        <v>20</v>
      </c>
      <c r="H27" s="46">
        <v>5</v>
      </c>
      <c r="I27" s="46">
        <v>0</v>
      </c>
      <c r="J27" s="46">
        <v>4</v>
      </c>
      <c r="K27" s="46">
        <v>27</v>
      </c>
      <c r="L27" s="46">
        <v>24</v>
      </c>
      <c r="M27" s="48">
        <v>0.20833333333333301</v>
      </c>
    </row>
    <row r="28" spans="1:13" x14ac:dyDescent="0.35">
      <c r="A28" t="s">
        <v>144</v>
      </c>
      <c r="B28" t="s">
        <v>13</v>
      </c>
      <c r="C28" t="s">
        <v>156</v>
      </c>
      <c r="D28" t="s">
        <v>146</v>
      </c>
      <c r="E28" t="s">
        <v>160</v>
      </c>
      <c r="F28" t="s">
        <v>16</v>
      </c>
      <c r="G28" t="s">
        <v>20</v>
      </c>
      <c r="H28" s="46">
        <v>1</v>
      </c>
      <c r="I28" s="46">
        <v>0</v>
      </c>
      <c r="J28" s="46">
        <v>1</v>
      </c>
      <c r="K28" s="46">
        <v>26</v>
      </c>
      <c r="L28" s="46">
        <v>25</v>
      </c>
      <c r="M28" s="48">
        <v>0.04</v>
      </c>
    </row>
    <row r="29" spans="1:13" x14ac:dyDescent="0.35">
      <c r="A29" t="s">
        <v>144</v>
      </c>
      <c r="B29" t="s">
        <v>13</v>
      </c>
      <c r="C29" t="s">
        <v>150</v>
      </c>
      <c r="D29" t="s">
        <v>146</v>
      </c>
      <c r="E29" t="s">
        <v>160</v>
      </c>
      <c r="F29" t="s">
        <v>16</v>
      </c>
      <c r="G29" t="s">
        <v>20</v>
      </c>
      <c r="H29" s="46">
        <v>0</v>
      </c>
      <c r="I29" s="46">
        <v>0</v>
      </c>
      <c r="J29" s="46">
        <v>0</v>
      </c>
      <c r="K29" s="46">
        <v>81</v>
      </c>
      <c r="L29" s="46">
        <v>80</v>
      </c>
      <c r="M29" s="48">
        <v>0</v>
      </c>
    </row>
    <row r="30" spans="1:13" x14ac:dyDescent="0.35">
      <c r="A30" t="s">
        <v>144</v>
      </c>
      <c r="B30" t="s">
        <v>13</v>
      </c>
      <c r="C30" t="s">
        <v>148</v>
      </c>
      <c r="D30" t="s">
        <v>146</v>
      </c>
      <c r="E30" t="s">
        <v>160</v>
      </c>
      <c r="F30" t="s">
        <v>16</v>
      </c>
      <c r="G30" t="s">
        <v>20</v>
      </c>
      <c r="H30" s="46">
        <v>2</v>
      </c>
      <c r="I30" s="46">
        <v>0</v>
      </c>
      <c r="J30" s="46">
        <v>2</v>
      </c>
      <c r="K30" s="46">
        <v>307</v>
      </c>
      <c r="L30" s="46">
        <v>302</v>
      </c>
      <c r="M30" s="48">
        <v>6.6225165562913899E-3</v>
      </c>
    </row>
    <row r="31" spans="1:13" x14ac:dyDescent="0.35">
      <c r="A31" t="s">
        <v>144</v>
      </c>
      <c r="B31" t="s">
        <v>13</v>
      </c>
      <c r="C31" t="s">
        <v>158</v>
      </c>
      <c r="D31" t="s">
        <v>146</v>
      </c>
      <c r="E31" t="s">
        <v>160</v>
      </c>
      <c r="F31" t="s">
        <v>16</v>
      </c>
      <c r="G31" t="s">
        <v>20</v>
      </c>
      <c r="H31" s="46">
        <v>3</v>
      </c>
      <c r="I31" s="46">
        <v>0</v>
      </c>
      <c r="J31" s="46">
        <v>1</v>
      </c>
      <c r="K31" s="46">
        <v>740</v>
      </c>
      <c r="L31" s="46">
        <v>740</v>
      </c>
      <c r="M31" s="48">
        <v>4.0540540540540499E-3</v>
      </c>
    </row>
    <row r="32" spans="1:13" x14ac:dyDescent="0.35">
      <c r="A32" t="s">
        <v>144</v>
      </c>
      <c r="B32" t="s">
        <v>13</v>
      </c>
      <c r="C32" t="s">
        <v>155</v>
      </c>
      <c r="D32" t="s">
        <v>146</v>
      </c>
      <c r="E32" t="s">
        <v>160</v>
      </c>
      <c r="F32" t="s">
        <v>16</v>
      </c>
      <c r="G32" t="s">
        <v>20</v>
      </c>
      <c r="H32" s="46">
        <v>0</v>
      </c>
      <c r="I32" s="46">
        <v>0</v>
      </c>
      <c r="J32" s="46">
        <v>0</v>
      </c>
      <c r="K32" s="46">
        <v>77</v>
      </c>
      <c r="L32" s="46">
        <v>77</v>
      </c>
      <c r="M32" s="48">
        <v>0</v>
      </c>
    </row>
    <row r="33" spans="1:13" x14ac:dyDescent="0.35">
      <c r="A33" t="s">
        <v>144</v>
      </c>
      <c r="B33" t="s">
        <v>13</v>
      </c>
      <c r="C33" t="s">
        <v>157</v>
      </c>
      <c r="D33" t="s">
        <v>146</v>
      </c>
      <c r="E33" t="s">
        <v>160</v>
      </c>
      <c r="F33" t="s">
        <v>16</v>
      </c>
      <c r="G33" t="s">
        <v>20</v>
      </c>
      <c r="H33" s="46">
        <v>11</v>
      </c>
      <c r="I33" s="46">
        <v>0</v>
      </c>
      <c r="J33" s="46">
        <v>2</v>
      </c>
      <c r="K33" s="46">
        <v>946</v>
      </c>
      <c r="L33" s="46">
        <v>900</v>
      </c>
      <c r="M33" s="48">
        <v>1.22222222222222E-2</v>
      </c>
    </row>
    <row r="34" spans="1:13" x14ac:dyDescent="0.35">
      <c r="A34" t="s">
        <v>144</v>
      </c>
      <c r="B34" t="s">
        <v>13</v>
      </c>
      <c r="C34" t="s">
        <v>151</v>
      </c>
      <c r="D34" t="s">
        <v>146</v>
      </c>
      <c r="E34" t="s">
        <v>160</v>
      </c>
      <c r="F34" t="s">
        <v>16</v>
      </c>
      <c r="G34" t="s">
        <v>20</v>
      </c>
      <c r="H34" s="46">
        <v>1</v>
      </c>
      <c r="I34" s="46">
        <v>0</v>
      </c>
      <c r="J34" s="46">
        <v>1</v>
      </c>
      <c r="K34" s="46">
        <v>33</v>
      </c>
      <c r="L34" s="46">
        <v>33</v>
      </c>
      <c r="M34" s="48">
        <v>3.03030303030303E-2</v>
      </c>
    </row>
    <row r="35" spans="1:13" x14ac:dyDescent="0.35">
      <c r="A35" t="s">
        <v>144</v>
      </c>
      <c r="B35" t="s">
        <v>13</v>
      </c>
      <c r="C35" t="s">
        <v>153</v>
      </c>
      <c r="D35" t="s">
        <v>146</v>
      </c>
      <c r="E35" t="s">
        <v>160</v>
      </c>
      <c r="F35" t="s">
        <v>16</v>
      </c>
      <c r="G35" t="s">
        <v>20</v>
      </c>
      <c r="H35" s="46">
        <v>0</v>
      </c>
      <c r="I35" s="46">
        <v>0</v>
      </c>
      <c r="J35" s="46">
        <v>0</v>
      </c>
      <c r="K35" s="46">
        <v>31</v>
      </c>
      <c r="L35" s="46">
        <v>28</v>
      </c>
      <c r="M35" s="48">
        <v>0</v>
      </c>
    </row>
    <row r="36" spans="1:13" x14ac:dyDescent="0.35">
      <c r="A36" t="s">
        <v>144</v>
      </c>
      <c r="B36" t="s">
        <v>13</v>
      </c>
      <c r="C36" t="s">
        <v>145</v>
      </c>
      <c r="D36" t="s">
        <v>146</v>
      </c>
      <c r="E36" t="s">
        <v>161</v>
      </c>
      <c r="F36" t="s">
        <v>28</v>
      </c>
      <c r="G36" t="s">
        <v>29</v>
      </c>
      <c r="H36" s="46">
        <v>3</v>
      </c>
      <c r="I36" s="46">
        <v>0</v>
      </c>
      <c r="J36" s="46">
        <v>0</v>
      </c>
      <c r="K36" s="46">
        <v>31</v>
      </c>
      <c r="L36" s="46">
        <v>27</v>
      </c>
      <c r="M36" s="48">
        <v>0.11111111111111099</v>
      </c>
    </row>
    <row r="37" spans="1:13" x14ac:dyDescent="0.35">
      <c r="A37" t="s">
        <v>144</v>
      </c>
      <c r="B37" t="s">
        <v>13</v>
      </c>
      <c r="C37" t="s">
        <v>149</v>
      </c>
      <c r="D37" t="s">
        <v>162</v>
      </c>
      <c r="E37" t="s">
        <v>163</v>
      </c>
      <c r="F37" t="s">
        <v>21</v>
      </c>
      <c r="G37" t="s">
        <v>164</v>
      </c>
      <c r="H37" s="46">
        <v>2</v>
      </c>
      <c r="I37" s="46">
        <v>0</v>
      </c>
      <c r="J37" s="46">
        <v>0</v>
      </c>
      <c r="K37" s="46">
        <v>619</v>
      </c>
      <c r="L37" s="46">
        <v>573</v>
      </c>
      <c r="M37" s="48">
        <v>3.4904013961605598E-3</v>
      </c>
    </row>
    <row r="38" spans="1:13" x14ac:dyDescent="0.35">
      <c r="A38" t="s">
        <v>144</v>
      </c>
      <c r="B38" t="s">
        <v>13</v>
      </c>
      <c r="C38" t="s">
        <v>157</v>
      </c>
      <c r="D38" t="s">
        <v>162</v>
      </c>
      <c r="E38" t="s">
        <v>163</v>
      </c>
      <c r="F38" t="s">
        <v>21</v>
      </c>
      <c r="G38" t="s">
        <v>164</v>
      </c>
      <c r="H38" s="46">
        <v>4</v>
      </c>
      <c r="I38" s="46">
        <v>0</v>
      </c>
      <c r="J38" s="46">
        <v>2</v>
      </c>
      <c r="K38" s="46">
        <v>1259</v>
      </c>
      <c r="L38" s="46">
        <v>1147</v>
      </c>
      <c r="M38" s="48">
        <v>3.4873583260680002E-3</v>
      </c>
    </row>
    <row r="39" spans="1:13" x14ac:dyDescent="0.35">
      <c r="A39" t="s">
        <v>144</v>
      </c>
      <c r="B39" t="s">
        <v>13</v>
      </c>
      <c r="C39" t="s">
        <v>152</v>
      </c>
      <c r="D39" t="s">
        <v>146</v>
      </c>
      <c r="E39" t="s">
        <v>165</v>
      </c>
      <c r="F39" t="s">
        <v>18</v>
      </c>
      <c r="G39" t="s">
        <v>23</v>
      </c>
      <c r="H39" s="46">
        <v>3</v>
      </c>
      <c r="I39" s="46">
        <v>0</v>
      </c>
      <c r="J39" s="46">
        <v>3</v>
      </c>
      <c r="K39" s="46">
        <v>26</v>
      </c>
      <c r="L39" s="46">
        <v>24</v>
      </c>
      <c r="M39" s="48">
        <v>0.125</v>
      </c>
    </row>
    <row r="40" spans="1:13" x14ac:dyDescent="0.35">
      <c r="A40" t="s">
        <v>144</v>
      </c>
      <c r="B40" t="s">
        <v>13</v>
      </c>
      <c r="C40" t="s">
        <v>149</v>
      </c>
      <c r="D40" t="s">
        <v>146</v>
      </c>
      <c r="E40" t="s">
        <v>166</v>
      </c>
      <c r="F40" t="s">
        <v>18</v>
      </c>
      <c r="G40" t="s">
        <v>23</v>
      </c>
      <c r="H40" s="46">
        <v>2</v>
      </c>
      <c r="I40" s="46">
        <v>0</v>
      </c>
      <c r="J40" s="46">
        <v>0</v>
      </c>
      <c r="K40" s="46">
        <v>218</v>
      </c>
      <c r="L40" s="46">
        <v>216</v>
      </c>
      <c r="M40" s="48">
        <v>9.2592592592592605E-3</v>
      </c>
    </row>
    <row r="41" spans="1:13" x14ac:dyDescent="0.35">
      <c r="A41" t="s">
        <v>144</v>
      </c>
      <c r="B41" t="s">
        <v>13</v>
      </c>
      <c r="C41" t="s">
        <v>150</v>
      </c>
      <c r="D41" t="s">
        <v>146</v>
      </c>
      <c r="E41" t="s">
        <v>166</v>
      </c>
      <c r="F41" t="s">
        <v>18</v>
      </c>
      <c r="G41" t="s">
        <v>23</v>
      </c>
      <c r="H41" s="46">
        <v>0</v>
      </c>
      <c r="I41" s="46">
        <v>0</v>
      </c>
      <c r="J41" s="46">
        <v>0</v>
      </c>
      <c r="K41" s="46">
        <v>85</v>
      </c>
      <c r="L41" s="46">
        <v>83</v>
      </c>
      <c r="M41" s="48">
        <v>0</v>
      </c>
    </row>
    <row r="42" spans="1:13" x14ac:dyDescent="0.35">
      <c r="A42" t="s">
        <v>144</v>
      </c>
      <c r="B42" t="s">
        <v>13</v>
      </c>
      <c r="C42" t="s">
        <v>151</v>
      </c>
      <c r="D42" t="s">
        <v>146</v>
      </c>
      <c r="E42" t="s">
        <v>166</v>
      </c>
      <c r="F42" t="s">
        <v>18</v>
      </c>
      <c r="G42" t="s">
        <v>23</v>
      </c>
      <c r="H42" s="46">
        <v>0</v>
      </c>
      <c r="I42" s="46">
        <v>0</v>
      </c>
      <c r="J42" s="46">
        <v>0</v>
      </c>
      <c r="K42" s="46">
        <v>33</v>
      </c>
      <c r="L42" s="46">
        <v>32</v>
      </c>
      <c r="M42" s="48">
        <v>0</v>
      </c>
    </row>
    <row r="43" spans="1:13" x14ac:dyDescent="0.35">
      <c r="A43" t="s">
        <v>144</v>
      </c>
      <c r="B43" t="s">
        <v>13</v>
      </c>
      <c r="C43" t="s">
        <v>153</v>
      </c>
      <c r="D43" t="s">
        <v>146</v>
      </c>
      <c r="E43" t="s">
        <v>166</v>
      </c>
      <c r="F43" t="s">
        <v>18</v>
      </c>
      <c r="G43" t="s">
        <v>23</v>
      </c>
      <c r="H43" s="46">
        <v>3</v>
      </c>
      <c r="I43" s="46">
        <v>0</v>
      </c>
      <c r="J43" s="46">
        <v>1</v>
      </c>
      <c r="K43" s="46">
        <v>30</v>
      </c>
      <c r="L43" s="46">
        <v>29</v>
      </c>
      <c r="M43" s="48">
        <v>0.10344827586206901</v>
      </c>
    </row>
    <row r="44" spans="1:13" x14ac:dyDescent="0.35">
      <c r="A44" t="s">
        <v>144</v>
      </c>
      <c r="B44" t="s">
        <v>13</v>
      </c>
      <c r="C44" t="s">
        <v>154</v>
      </c>
      <c r="D44" t="s">
        <v>146</v>
      </c>
      <c r="E44" t="s">
        <v>166</v>
      </c>
      <c r="F44" t="s">
        <v>18</v>
      </c>
      <c r="G44" t="s">
        <v>23</v>
      </c>
      <c r="H44" s="46">
        <v>0</v>
      </c>
      <c r="I44" s="46">
        <v>0</v>
      </c>
      <c r="J44" s="46">
        <v>0</v>
      </c>
      <c r="K44" s="46">
        <v>19</v>
      </c>
      <c r="L44" s="46">
        <v>18</v>
      </c>
      <c r="M44" s="48">
        <v>0</v>
      </c>
    </row>
    <row r="45" spans="1:13" x14ac:dyDescent="0.35">
      <c r="A45" t="s">
        <v>144</v>
      </c>
      <c r="B45" t="s">
        <v>13</v>
      </c>
      <c r="C45" t="s">
        <v>148</v>
      </c>
      <c r="D45" t="s">
        <v>146</v>
      </c>
      <c r="E45" t="s">
        <v>166</v>
      </c>
      <c r="F45" t="s">
        <v>18</v>
      </c>
      <c r="G45" t="s">
        <v>23</v>
      </c>
      <c r="H45" s="46">
        <v>8</v>
      </c>
      <c r="I45" s="46">
        <v>2</v>
      </c>
      <c r="J45" s="46">
        <v>3</v>
      </c>
      <c r="K45" s="46">
        <v>202</v>
      </c>
      <c r="L45" s="46">
        <v>198</v>
      </c>
      <c r="M45" s="48">
        <v>4.0404040404040401E-2</v>
      </c>
    </row>
    <row r="46" spans="1:13" x14ac:dyDescent="0.35">
      <c r="A46" t="s">
        <v>144</v>
      </c>
      <c r="B46" t="s">
        <v>13</v>
      </c>
      <c r="C46" t="s">
        <v>155</v>
      </c>
      <c r="D46" t="s">
        <v>146</v>
      </c>
      <c r="E46" t="s">
        <v>166</v>
      </c>
      <c r="F46" t="s">
        <v>18</v>
      </c>
      <c r="G46" t="s">
        <v>23</v>
      </c>
      <c r="H46" s="46">
        <v>0</v>
      </c>
      <c r="I46" s="46">
        <v>0</v>
      </c>
      <c r="J46" s="46">
        <v>0</v>
      </c>
      <c r="K46" s="46">
        <v>114</v>
      </c>
      <c r="L46" s="46">
        <v>113</v>
      </c>
      <c r="M46" s="48">
        <v>0</v>
      </c>
    </row>
    <row r="47" spans="1:13" x14ac:dyDescent="0.35">
      <c r="A47" t="s">
        <v>144</v>
      </c>
      <c r="B47" t="s">
        <v>13</v>
      </c>
      <c r="C47" t="s">
        <v>156</v>
      </c>
      <c r="D47" t="s">
        <v>146</v>
      </c>
      <c r="E47" t="s">
        <v>166</v>
      </c>
      <c r="F47" t="s">
        <v>18</v>
      </c>
      <c r="G47" t="s">
        <v>23</v>
      </c>
      <c r="H47" s="46">
        <v>2</v>
      </c>
      <c r="I47" s="46">
        <v>0</v>
      </c>
      <c r="J47" s="46">
        <v>0</v>
      </c>
      <c r="K47" s="46">
        <v>31</v>
      </c>
      <c r="L47" s="46">
        <v>29</v>
      </c>
      <c r="M47" s="48">
        <v>6.8965517241379296E-2</v>
      </c>
    </row>
    <row r="48" spans="1:13" x14ac:dyDescent="0.35">
      <c r="A48" t="s">
        <v>144</v>
      </c>
      <c r="B48" t="s">
        <v>13</v>
      </c>
      <c r="C48" t="s">
        <v>157</v>
      </c>
      <c r="D48" t="s">
        <v>146</v>
      </c>
      <c r="E48" t="s">
        <v>166</v>
      </c>
      <c r="F48" t="s">
        <v>18</v>
      </c>
      <c r="G48" t="s">
        <v>23</v>
      </c>
      <c r="H48" s="46">
        <v>6</v>
      </c>
      <c r="I48" s="46">
        <v>0</v>
      </c>
      <c r="J48" s="46">
        <v>0</v>
      </c>
      <c r="K48" s="46">
        <v>786</v>
      </c>
      <c r="L48" s="46">
        <v>734</v>
      </c>
      <c r="M48" s="48">
        <v>8.1743869209809292E-3</v>
      </c>
    </row>
    <row r="49" spans="1:13" x14ac:dyDescent="0.35">
      <c r="A49" t="s">
        <v>144</v>
      </c>
      <c r="B49" t="s">
        <v>13</v>
      </c>
      <c r="C49" t="s">
        <v>158</v>
      </c>
      <c r="D49" t="s">
        <v>146</v>
      </c>
      <c r="E49" t="s">
        <v>166</v>
      </c>
      <c r="F49" t="s">
        <v>18</v>
      </c>
      <c r="G49" t="s">
        <v>23</v>
      </c>
      <c r="H49" s="46">
        <v>6</v>
      </c>
      <c r="I49" s="46">
        <v>1</v>
      </c>
      <c r="J49" s="46">
        <v>1</v>
      </c>
      <c r="K49" s="46">
        <v>766</v>
      </c>
      <c r="L49" s="46">
        <v>749</v>
      </c>
      <c r="M49" s="48">
        <v>8.0106809078771702E-3</v>
      </c>
    </row>
    <row r="50" spans="1:13" x14ac:dyDescent="0.35">
      <c r="A50" t="s">
        <v>144</v>
      </c>
      <c r="B50" t="s">
        <v>13</v>
      </c>
      <c r="C50" t="s">
        <v>148</v>
      </c>
      <c r="D50" t="s">
        <v>146</v>
      </c>
      <c r="E50" t="s">
        <v>167</v>
      </c>
      <c r="F50" t="s">
        <v>21</v>
      </c>
      <c r="G50" t="s">
        <v>164</v>
      </c>
      <c r="H50" s="46">
        <v>15</v>
      </c>
      <c r="I50" s="46">
        <v>1</v>
      </c>
      <c r="J50" s="46">
        <v>2</v>
      </c>
      <c r="K50" s="46">
        <v>256</v>
      </c>
      <c r="L50" s="46">
        <v>248</v>
      </c>
      <c r="M50" s="48">
        <v>6.0483870967741903E-2</v>
      </c>
    </row>
    <row r="51" spans="1:13" x14ac:dyDescent="0.35">
      <c r="A51" t="s">
        <v>144</v>
      </c>
      <c r="B51" t="s">
        <v>13</v>
      </c>
      <c r="C51" t="s">
        <v>149</v>
      </c>
      <c r="D51" t="s">
        <v>146</v>
      </c>
      <c r="E51" t="s">
        <v>168</v>
      </c>
      <c r="F51" t="s">
        <v>16</v>
      </c>
      <c r="G51" t="s">
        <v>17</v>
      </c>
      <c r="H51" s="46">
        <v>0</v>
      </c>
      <c r="I51" s="46">
        <v>0</v>
      </c>
      <c r="J51" s="46">
        <v>0</v>
      </c>
      <c r="K51" s="46">
        <v>208</v>
      </c>
      <c r="L51" s="46">
        <v>205</v>
      </c>
      <c r="M51" s="48">
        <v>0</v>
      </c>
    </row>
    <row r="52" spans="1:13" x14ac:dyDescent="0.35">
      <c r="A52" t="s">
        <v>144</v>
      </c>
      <c r="B52" t="s">
        <v>13</v>
      </c>
      <c r="C52" t="s">
        <v>150</v>
      </c>
      <c r="D52" t="s">
        <v>146</v>
      </c>
      <c r="E52" t="s">
        <v>168</v>
      </c>
      <c r="F52" t="s">
        <v>16</v>
      </c>
      <c r="G52" t="s">
        <v>17</v>
      </c>
      <c r="H52" s="46">
        <v>1</v>
      </c>
      <c r="I52" s="46">
        <v>0</v>
      </c>
      <c r="J52" s="46">
        <v>0</v>
      </c>
      <c r="K52" s="46">
        <v>107</v>
      </c>
      <c r="L52" s="46">
        <v>106</v>
      </c>
      <c r="M52" s="48">
        <v>9.4339622641509396E-3</v>
      </c>
    </row>
    <row r="53" spans="1:13" x14ac:dyDescent="0.35">
      <c r="A53" t="s">
        <v>144</v>
      </c>
      <c r="B53" t="s">
        <v>13</v>
      </c>
      <c r="C53" t="s">
        <v>151</v>
      </c>
      <c r="D53" t="s">
        <v>146</v>
      </c>
      <c r="E53" t="s">
        <v>168</v>
      </c>
      <c r="F53" t="s">
        <v>16</v>
      </c>
      <c r="G53" t="s">
        <v>17</v>
      </c>
      <c r="H53" s="46">
        <v>56549</v>
      </c>
      <c r="I53" s="46">
        <v>0</v>
      </c>
      <c r="J53" s="46">
        <v>3</v>
      </c>
      <c r="K53" s="46">
        <v>284752</v>
      </c>
      <c r="L53" s="46">
        <v>272185</v>
      </c>
      <c r="M53" s="48">
        <v>0.207759428329996</v>
      </c>
    </row>
    <row r="54" spans="1:13" x14ac:dyDescent="0.35">
      <c r="A54" t="s">
        <v>144</v>
      </c>
      <c r="B54" t="s">
        <v>13</v>
      </c>
      <c r="C54" t="s">
        <v>152</v>
      </c>
      <c r="D54" t="s">
        <v>146</v>
      </c>
      <c r="E54" t="s">
        <v>168</v>
      </c>
      <c r="F54" t="s">
        <v>16</v>
      </c>
      <c r="G54" t="s">
        <v>17</v>
      </c>
      <c r="H54" s="46">
        <v>6</v>
      </c>
      <c r="I54" s="46">
        <v>0</v>
      </c>
      <c r="J54" s="46">
        <v>4</v>
      </c>
      <c r="K54" s="46">
        <v>33</v>
      </c>
      <c r="L54" s="46">
        <v>27</v>
      </c>
      <c r="M54" s="48">
        <v>0.22222222222222199</v>
      </c>
    </row>
    <row r="55" spans="1:13" x14ac:dyDescent="0.35">
      <c r="A55" t="s">
        <v>144</v>
      </c>
      <c r="B55" t="s">
        <v>13</v>
      </c>
      <c r="C55" t="s">
        <v>153</v>
      </c>
      <c r="D55" t="s">
        <v>146</v>
      </c>
      <c r="E55" t="s">
        <v>168</v>
      </c>
      <c r="F55" t="s">
        <v>16</v>
      </c>
      <c r="G55" t="s">
        <v>17</v>
      </c>
      <c r="H55" s="46">
        <v>38454</v>
      </c>
      <c r="I55" s="46">
        <v>0</v>
      </c>
      <c r="J55" s="46">
        <v>4</v>
      </c>
      <c r="K55" s="46">
        <v>216279</v>
      </c>
      <c r="L55" s="46">
        <v>212898</v>
      </c>
      <c r="M55" s="48">
        <v>0.18062170616915099</v>
      </c>
    </row>
    <row r="56" spans="1:13" x14ac:dyDescent="0.35">
      <c r="A56" t="s">
        <v>144</v>
      </c>
      <c r="B56" t="s">
        <v>13</v>
      </c>
      <c r="C56" t="s">
        <v>154</v>
      </c>
      <c r="D56" t="s">
        <v>146</v>
      </c>
      <c r="E56" t="s">
        <v>168</v>
      </c>
      <c r="F56" t="s">
        <v>16</v>
      </c>
      <c r="G56" t="s">
        <v>17</v>
      </c>
      <c r="H56" s="46">
        <v>10208</v>
      </c>
      <c r="I56" s="46">
        <v>0</v>
      </c>
      <c r="J56" s="46">
        <v>2</v>
      </c>
      <c r="K56" s="46">
        <v>153777</v>
      </c>
      <c r="L56" s="46">
        <v>153777</v>
      </c>
      <c r="M56" s="48">
        <v>6.63818386364671E-2</v>
      </c>
    </row>
    <row r="57" spans="1:13" x14ac:dyDescent="0.35">
      <c r="A57" t="s">
        <v>144</v>
      </c>
      <c r="B57" t="s">
        <v>13</v>
      </c>
      <c r="C57" t="s">
        <v>148</v>
      </c>
      <c r="D57" t="s">
        <v>146</v>
      </c>
      <c r="E57" t="s">
        <v>168</v>
      </c>
      <c r="F57" t="s">
        <v>16</v>
      </c>
      <c r="G57" t="s">
        <v>17</v>
      </c>
      <c r="H57" s="46">
        <v>14</v>
      </c>
      <c r="I57" s="46">
        <v>0</v>
      </c>
      <c r="J57" s="46">
        <v>3</v>
      </c>
      <c r="K57" s="46">
        <v>251</v>
      </c>
      <c r="L57" s="46">
        <v>242</v>
      </c>
      <c r="M57" s="48">
        <v>5.7851239669421503E-2</v>
      </c>
    </row>
    <row r="58" spans="1:13" x14ac:dyDescent="0.35">
      <c r="A58" t="s">
        <v>144</v>
      </c>
      <c r="B58" t="s">
        <v>13</v>
      </c>
      <c r="C58" t="s">
        <v>155</v>
      </c>
      <c r="D58" t="s">
        <v>146</v>
      </c>
      <c r="E58" t="s">
        <v>168</v>
      </c>
      <c r="F58" t="s">
        <v>16</v>
      </c>
      <c r="G58" t="s">
        <v>17</v>
      </c>
      <c r="H58" s="46">
        <v>0</v>
      </c>
      <c r="I58" s="46">
        <v>0</v>
      </c>
      <c r="J58" s="46">
        <v>0</v>
      </c>
      <c r="K58" s="46">
        <v>93</v>
      </c>
      <c r="L58" s="46">
        <v>93</v>
      </c>
      <c r="M58" s="48">
        <v>0</v>
      </c>
    </row>
    <row r="59" spans="1:13" x14ac:dyDescent="0.35">
      <c r="A59" t="s">
        <v>144</v>
      </c>
      <c r="B59" t="s">
        <v>13</v>
      </c>
      <c r="C59" t="s">
        <v>156</v>
      </c>
      <c r="D59" t="s">
        <v>146</v>
      </c>
      <c r="E59" t="s">
        <v>168</v>
      </c>
      <c r="F59" t="s">
        <v>16</v>
      </c>
      <c r="G59" t="s">
        <v>17</v>
      </c>
      <c r="H59" s="46">
        <v>1833</v>
      </c>
      <c r="I59" s="46">
        <v>2</v>
      </c>
      <c r="J59" s="46">
        <v>6</v>
      </c>
      <c r="K59" s="46">
        <v>123850</v>
      </c>
      <c r="L59" s="46">
        <v>123850</v>
      </c>
      <c r="M59" s="48">
        <v>1.48001614856681E-2</v>
      </c>
    </row>
    <row r="60" spans="1:13" x14ac:dyDescent="0.35">
      <c r="A60" t="s">
        <v>144</v>
      </c>
      <c r="B60" t="s">
        <v>13</v>
      </c>
      <c r="C60" t="s">
        <v>157</v>
      </c>
      <c r="D60" t="s">
        <v>146</v>
      </c>
      <c r="E60" t="s">
        <v>168</v>
      </c>
      <c r="F60" t="s">
        <v>16</v>
      </c>
      <c r="G60" t="s">
        <v>17</v>
      </c>
      <c r="H60" s="46">
        <v>6</v>
      </c>
      <c r="I60" s="46">
        <v>0</v>
      </c>
      <c r="J60" s="46">
        <v>0</v>
      </c>
      <c r="K60" s="46">
        <v>834</v>
      </c>
      <c r="L60" s="46">
        <v>798</v>
      </c>
      <c r="M60" s="48">
        <v>7.5187969924812E-3</v>
      </c>
    </row>
    <row r="61" spans="1:13" x14ac:dyDescent="0.35">
      <c r="A61" t="s">
        <v>144</v>
      </c>
      <c r="B61" t="s">
        <v>13</v>
      </c>
      <c r="C61" t="s">
        <v>158</v>
      </c>
      <c r="D61" t="s">
        <v>146</v>
      </c>
      <c r="E61" t="s">
        <v>168</v>
      </c>
      <c r="F61" t="s">
        <v>16</v>
      </c>
      <c r="G61" t="s">
        <v>17</v>
      </c>
      <c r="H61" s="46">
        <v>11</v>
      </c>
      <c r="I61" s="46">
        <v>0</v>
      </c>
      <c r="J61" s="46">
        <v>6</v>
      </c>
      <c r="K61" s="46">
        <v>952</v>
      </c>
      <c r="L61" s="46">
        <v>934</v>
      </c>
      <c r="M61" s="48">
        <v>1.1777301927194899E-2</v>
      </c>
    </row>
    <row r="62" spans="1:13" x14ac:dyDescent="0.35">
      <c r="A62" t="s">
        <v>144</v>
      </c>
      <c r="B62" t="s">
        <v>13</v>
      </c>
      <c r="C62" t="s">
        <v>145</v>
      </c>
      <c r="D62" t="s">
        <v>146</v>
      </c>
      <c r="E62" t="s">
        <v>168</v>
      </c>
      <c r="F62" t="s">
        <v>16</v>
      </c>
      <c r="G62" t="s">
        <v>17</v>
      </c>
      <c r="H62" s="46">
        <v>2</v>
      </c>
      <c r="I62" s="46">
        <v>0</v>
      </c>
      <c r="J62" s="46">
        <v>0</v>
      </c>
      <c r="K62" s="46">
        <v>9</v>
      </c>
      <c r="L62" s="46">
        <v>8</v>
      </c>
      <c r="M62" s="48">
        <v>0.25</v>
      </c>
    </row>
    <row r="63" spans="1:13" x14ac:dyDescent="0.35">
      <c r="A63" t="s">
        <v>144</v>
      </c>
      <c r="B63" t="s">
        <v>13</v>
      </c>
      <c r="C63" t="s">
        <v>152</v>
      </c>
      <c r="D63" t="s">
        <v>146</v>
      </c>
      <c r="E63" t="s">
        <v>169</v>
      </c>
      <c r="F63" t="s">
        <v>23</v>
      </c>
      <c r="G63" t="s">
        <v>18</v>
      </c>
      <c r="H63" s="46">
        <v>8</v>
      </c>
      <c r="I63" s="46">
        <v>0</v>
      </c>
      <c r="J63" s="46">
        <v>4</v>
      </c>
      <c r="K63" s="46">
        <v>30</v>
      </c>
      <c r="L63" s="46">
        <v>23</v>
      </c>
      <c r="M63" s="48">
        <v>0.34782608695652201</v>
      </c>
    </row>
    <row r="64" spans="1:13" x14ac:dyDescent="0.35">
      <c r="A64" t="s">
        <v>144</v>
      </c>
      <c r="B64" t="s">
        <v>13</v>
      </c>
      <c r="C64" t="s">
        <v>148</v>
      </c>
      <c r="D64" t="s">
        <v>146</v>
      </c>
      <c r="E64" t="s">
        <v>169</v>
      </c>
      <c r="F64" t="s">
        <v>23</v>
      </c>
      <c r="G64" t="s">
        <v>18</v>
      </c>
      <c r="H64" s="46">
        <v>5</v>
      </c>
      <c r="I64" s="46">
        <v>0</v>
      </c>
      <c r="J64" s="46">
        <v>1</v>
      </c>
      <c r="K64" s="46">
        <v>236</v>
      </c>
      <c r="L64" s="46">
        <v>232</v>
      </c>
      <c r="M64" s="48">
        <v>2.1551724137931001E-2</v>
      </c>
    </row>
    <row r="65" spans="1:13" x14ac:dyDescent="0.35">
      <c r="A65" t="s">
        <v>144</v>
      </c>
      <c r="B65" t="s">
        <v>13</v>
      </c>
      <c r="C65" t="s">
        <v>145</v>
      </c>
      <c r="D65" t="s">
        <v>146</v>
      </c>
      <c r="E65" t="s">
        <v>170</v>
      </c>
      <c r="F65" t="s">
        <v>28</v>
      </c>
      <c r="G65" t="s">
        <v>29</v>
      </c>
      <c r="H65" s="46">
        <v>5</v>
      </c>
      <c r="I65" s="46">
        <v>0</v>
      </c>
      <c r="J65" s="46">
        <v>0</v>
      </c>
      <c r="K65" s="46">
        <v>60</v>
      </c>
      <c r="L65" s="46">
        <v>51</v>
      </c>
      <c r="M65" s="48">
        <v>9.8039215686274495E-2</v>
      </c>
    </row>
    <row r="66" spans="1:13" x14ac:dyDescent="0.35">
      <c r="A66" t="s">
        <v>144</v>
      </c>
      <c r="B66" t="s">
        <v>13</v>
      </c>
      <c r="C66" t="s">
        <v>149</v>
      </c>
      <c r="D66" t="s">
        <v>146</v>
      </c>
      <c r="E66" t="s">
        <v>170</v>
      </c>
      <c r="F66" t="s">
        <v>16</v>
      </c>
      <c r="G66" t="s">
        <v>17</v>
      </c>
      <c r="H66" s="46">
        <v>3</v>
      </c>
      <c r="I66" s="46">
        <v>0</v>
      </c>
      <c r="J66" s="46">
        <v>0</v>
      </c>
      <c r="K66" s="46">
        <v>229</v>
      </c>
      <c r="L66" s="46">
        <v>222</v>
      </c>
      <c r="M66" s="48">
        <v>1.35135135135135E-2</v>
      </c>
    </row>
    <row r="67" spans="1:13" x14ac:dyDescent="0.35">
      <c r="A67" t="s">
        <v>144</v>
      </c>
      <c r="B67" t="s">
        <v>13</v>
      </c>
      <c r="C67" t="s">
        <v>150</v>
      </c>
      <c r="D67" t="s">
        <v>146</v>
      </c>
      <c r="E67" t="s">
        <v>170</v>
      </c>
      <c r="F67" t="s">
        <v>16</v>
      </c>
      <c r="G67" t="s">
        <v>17</v>
      </c>
      <c r="H67" s="46">
        <v>0</v>
      </c>
      <c r="I67" s="46">
        <v>0</v>
      </c>
      <c r="J67" s="46">
        <v>0</v>
      </c>
      <c r="K67" s="46">
        <v>122</v>
      </c>
      <c r="L67" s="46">
        <v>120</v>
      </c>
      <c r="M67" s="48">
        <v>0</v>
      </c>
    </row>
    <row r="68" spans="1:13" x14ac:dyDescent="0.35">
      <c r="A68" t="s">
        <v>144</v>
      </c>
      <c r="B68" t="s">
        <v>13</v>
      </c>
      <c r="C68" t="s">
        <v>151</v>
      </c>
      <c r="D68" t="s">
        <v>146</v>
      </c>
      <c r="E68" t="s">
        <v>170</v>
      </c>
      <c r="F68" t="s">
        <v>16</v>
      </c>
      <c r="G68" t="s">
        <v>17</v>
      </c>
      <c r="H68" s="46">
        <v>0</v>
      </c>
      <c r="I68" s="46">
        <v>0</v>
      </c>
      <c r="J68" s="46">
        <v>0</v>
      </c>
      <c r="K68" s="46">
        <v>35</v>
      </c>
      <c r="L68" s="46">
        <v>35</v>
      </c>
      <c r="M68" s="48">
        <v>0</v>
      </c>
    </row>
    <row r="69" spans="1:13" x14ac:dyDescent="0.35">
      <c r="A69" t="s">
        <v>144</v>
      </c>
      <c r="B69" t="s">
        <v>13</v>
      </c>
      <c r="C69" t="s">
        <v>152</v>
      </c>
      <c r="D69" t="s">
        <v>146</v>
      </c>
      <c r="E69" t="s">
        <v>170</v>
      </c>
      <c r="F69" t="s">
        <v>16</v>
      </c>
      <c r="G69" t="s">
        <v>17</v>
      </c>
      <c r="H69" s="46">
        <v>10</v>
      </c>
      <c r="I69" s="46">
        <v>0</v>
      </c>
      <c r="J69" s="46">
        <v>5</v>
      </c>
      <c r="K69" s="46">
        <v>40</v>
      </c>
      <c r="L69" s="46">
        <v>33</v>
      </c>
      <c r="M69" s="48">
        <v>0.30303030303030298</v>
      </c>
    </row>
    <row r="70" spans="1:13" x14ac:dyDescent="0.35">
      <c r="A70" t="s">
        <v>144</v>
      </c>
      <c r="B70" t="s">
        <v>13</v>
      </c>
      <c r="C70" t="s">
        <v>153</v>
      </c>
      <c r="D70" t="s">
        <v>146</v>
      </c>
      <c r="E70" t="s">
        <v>170</v>
      </c>
      <c r="F70" t="s">
        <v>16</v>
      </c>
      <c r="G70" t="s">
        <v>17</v>
      </c>
      <c r="H70" s="46">
        <v>0</v>
      </c>
      <c r="I70" s="46">
        <v>0</v>
      </c>
      <c r="J70" s="46">
        <v>0</v>
      </c>
      <c r="K70" s="46">
        <v>101</v>
      </c>
      <c r="L70" s="46">
        <v>97</v>
      </c>
      <c r="M70" s="48">
        <v>0</v>
      </c>
    </row>
    <row r="71" spans="1:13" x14ac:dyDescent="0.35">
      <c r="A71" t="s">
        <v>144</v>
      </c>
      <c r="B71" t="s">
        <v>13</v>
      </c>
      <c r="C71" t="s">
        <v>154</v>
      </c>
      <c r="D71" t="s">
        <v>146</v>
      </c>
      <c r="E71" t="s">
        <v>170</v>
      </c>
      <c r="F71" t="s">
        <v>16</v>
      </c>
      <c r="G71" t="s">
        <v>17</v>
      </c>
      <c r="H71" s="46">
        <v>1</v>
      </c>
      <c r="I71" s="46">
        <v>0</v>
      </c>
      <c r="J71" s="46">
        <v>0</v>
      </c>
      <c r="K71" s="46">
        <v>86</v>
      </c>
      <c r="L71" s="46">
        <v>79</v>
      </c>
      <c r="M71" s="48">
        <v>1.26582278481013E-2</v>
      </c>
    </row>
    <row r="72" spans="1:13" x14ac:dyDescent="0.35">
      <c r="A72" t="s">
        <v>144</v>
      </c>
      <c r="B72" t="s">
        <v>13</v>
      </c>
      <c r="C72" t="s">
        <v>148</v>
      </c>
      <c r="D72" t="s">
        <v>146</v>
      </c>
      <c r="E72" t="s">
        <v>170</v>
      </c>
      <c r="F72" t="s">
        <v>16</v>
      </c>
      <c r="G72" t="s">
        <v>17</v>
      </c>
      <c r="H72" s="46">
        <v>3</v>
      </c>
      <c r="I72" s="46">
        <v>0</v>
      </c>
      <c r="J72" s="46">
        <v>1</v>
      </c>
      <c r="K72" s="46">
        <v>249</v>
      </c>
      <c r="L72" s="46">
        <v>246</v>
      </c>
      <c r="M72" s="48">
        <v>1.21951219512195E-2</v>
      </c>
    </row>
    <row r="73" spans="1:13" x14ac:dyDescent="0.35">
      <c r="A73" t="s">
        <v>144</v>
      </c>
      <c r="B73" t="s">
        <v>13</v>
      </c>
      <c r="C73" t="s">
        <v>155</v>
      </c>
      <c r="D73" t="s">
        <v>146</v>
      </c>
      <c r="E73" t="s">
        <v>170</v>
      </c>
      <c r="F73" t="s">
        <v>16</v>
      </c>
      <c r="G73" t="s">
        <v>17</v>
      </c>
      <c r="H73" s="46">
        <v>1</v>
      </c>
      <c r="I73" s="46">
        <v>0</v>
      </c>
      <c r="J73" s="46">
        <v>0</v>
      </c>
      <c r="K73" s="46">
        <v>108</v>
      </c>
      <c r="L73" s="46">
        <v>108</v>
      </c>
      <c r="M73" s="48">
        <v>9.2592592592592605E-3</v>
      </c>
    </row>
    <row r="74" spans="1:13" x14ac:dyDescent="0.35">
      <c r="A74" t="s">
        <v>144</v>
      </c>
      <c r="B74" t="s">
        <v>13</v>
      </c>
      <c r="C74" t="s">
        <v>156</v>
      </c>
      <c r="D74" t="s">
        <v>146</v>
      </c>
      <c r="E74" t="s">
        <v>170</v>
      </c>
      <c r="F74" t="s">
        <v>16</v>
      </c>
      <c r="G74" t="s">
        <v>17</v>
      </c>
      <c r="H74" s="46">
        <v>2</v>
      </c>
      <c r="I74" s="46">
        <v>0</v>
      </c>
      <c r="J74" s="46">
        <v>1</v>
      </c>
      <c r="K74" s="46">
        <v>38</v>
      </c>
      <c r="L74" s="46">
        <v>33</v>
      </c>
      <c r="M74" s="48">
        <v>6.0606060606060601E-2</v>
      </c>
    </row>
    <row r="75" spans="1:13" x14ac:dyDescent="0.35">
      <c r="A75" t="s">
        <v>144</v>
      </c>
      <c r="B75" t="s">
        <v>13</v>
      </c>
      <c r="C75" t="s">
        <v>157</v>
      </c>
      <c r="D75" t="s">
        <v>146</v>
      </c>
      <c r="E75" t="s">
        <v>170</v>
      </c>
      <c r="F75" t="s">
        <v>16</v>
      </c>
      <c r="G75" t="s">
        <v>17</v>
      </c>
      <c r="H75" s="46">
        <v>5</v>
      </c>
      <c r="I75" s="46">
        <v>0</v>
      </c>
      <c r="J75" s="46">
        <v>0</v>
      </c>
      <c r="K75" s="46">
        <v>739</v>
      </c>
      <c r="L75" s="46">
        <v>695</v>
      </c>
      <c r="M75" s="48">
        <v>7.1942446043165497E-3</v>
      </c>
    </row>
    <row r="76" spans="1:13" x14ac:dyDescent="0.35">
      <c r="A76" t="s">
        <v>144</v>
      </c>
      <c r="B76" t="s">
        <v>13</v>
      </c>
      <c r="C76" t="s">
        <v>158</v>
      </c>
      <c r="D76" t="s">
        <v>146</v>
      </c>
      <c r="E76" t="s">
        <v>170</v>
      </c>
      <c r="F76" t="s">
        <v>16</v>
      </c>
      <c r="G76" t="s">
        <v>17</v>
      </c>
      <c r="H76" s="46">
        <v>12</v>
      </c>
      <c r="I76" s="46">
        <v>0</v>
      </c>
      <c r="J76" s="46">
        <v>3</v>
      </c>
      <c r="K76" s="46">
        <v>1115</v>
      </c>
      <c r="L76" s="46">
        <v>1088</v>
      </c>
      <c r="M76" s="48">
        <v>1.10294117647059E-2</v>
      </c>
    </row>
    <row r="77" spans="1:13" x14ac:dyDescent="0.35">
      <c r="A77" t="s">
        <v>144</v>
      </c>
      <c r="B77" t="s">
        <v>13</v>
      </c>
      <c r="C77" t="s">
        <v>158</v>
      </c>
      <c r="D77" t="s">
        <v>162</v>
      </c>
      <c r="E77" t="s">
        <v>171</v>
      </c>
      <c r="F77" t="s">
        <v>21</v>
      </c>
      <c r="G77" t="s">
        <v>164</v>
      </c>
      <c r="H77" s="46">
        <v>7</v>
      </c>
      <c r="I77" s="46">
        <v>0</v>
      </c>
      <c r="J77" s="46">
        <v>2</v>
      </c>
      <c r="K77" s="46">
        <v>3008</v>
      </c>
      <c r="L77" s="46">
        <v>2196</v>
      </c>
      <c r="M77" s="48">
        <v>3.1876138433515498E-3</v>
      </c>
    </row>
    <row r="78" spans="1:13" x14ac:dyDescent="0.35">
      <c r="A78" t="s">
        <v>144</v>
      </c>
      <c r="B78" t="s">
        <v>36</v>
      </c>
      <c r="C78" t="s">
        <v>148</v>
      </c>
      <c r="D78" t="s">
        <v>146</v>
      </c>
      <c r="E78" t="s">
        <v>147</v>
      </c>
      <c r="F78" t="s">
        <v>16</v>
      </c>
      <c r="G78" t="s">
        <v>17</v>
      </c>
      <c r="H78" s="46">
        <v>6</v>
      </c>
      <c r="I78" s="46">
        <v>6</v>
      </c>
      <c r="J78" s="46">
        <v>0</v>
      </c>
      <c r="K78" s="46">
        <v>79</v>
      </c>
      <c r="L78" s="46">
        <v>73</v>
      </c>
      <c r="M78" s="48">
        <v>8.2191780821917804E-2</v>
      </c>
    </row>
    <row r="79" spans="1:13" x14ac:dyDescent="0.35">
      <c r="A79" t="s">
        <v>144</v>
      </c>
      <c r="B79" t="s">
        <v>36</v>
      </c>
      <c r="C79" t="s">
        <v>150</v>
      </c>
      <c r="D79" t="s">
        <v>146</v>
      </c>
      <c r="E79" t="s">
        <v>147</v>
      </c>
      <c r="F79" t="s">
        <v>16</v>
      </c>
      <c r="G79" t="s">
        <v>17</v>
      </c>
      <c r="H79" s="46">
        <v>2</v>
      </c>
      <c r="I79" s="46">
        <v>2</v>
      </c>
      <c r="J79" s="46">
        <v>0</v>
      </c>
      <c r="K79" s="46">
        <v>18</v>
      </c>
      <c r="L79" s="46">
        <v>16</v>
      </c>
      <c r="M79" s="48">
        <v>0.125</v>
      </c>
    </row>
    <row r="80" spans="1:13" x14ac:dyDescent="0.35">
      <c r="A80" t="s">
        <v>144</v>
      </c>
      <c r="B80" t="s">
        <v>36</v>
      </c>
      <c r="C80" t="s">
        <v>151</v>
      </c>
      <c r="D80" t="s">
        <v>146</v>
      </c>
      <c r="E80" t="s">
        <v>147</v>
      </c>
      <c r="F80" t="s">
        <v>16</v>
      </c>
      <c r="G80" t="s">
        <v>17</v>
      </c>
      <c r="H80" s="46">
        <v>0</v>
      </c>
      <c r="I80" s="46">
        <v>0</v>
      </c>
      <c r="J80" s="46">
        <v>0</v>
      </c>
      <c r="K80" s="46">
        <v>15</v>
      </c>
      <c r="L80" s="46">
        <v>13</v>
      </c>
      <c r="M80" s="48">
        <v>0</v>
      </c>
    </row>
    <row r="81" spans="1:13" x14ac:dyDescent="0.35">
      <c r="A81" t="s">
        <v>144</v>
      </c>
      <c r="B81" t="s">
        <v>36</v>
      </c>
      <c r="C81" t="s">
        <v>152</v>
      </c>
      <c r="D81" t="s">
        <v>146</v>
      </c>
      <c r="E81" t="s">
        <v>147</v>
      </c>
      <c r="F81" t="s">
        <v>16</v>
      </c>
      <c r="G81" t="s">
        <v>17</v>
      </c>
      <c r="H81" s="46">
        <v>7</v>
      </c>
      <c r="I81" s="46">
        <v>7</v>
      </c>
      <c r="J81" s="46">
        <v>0</v>
      </c>
      <c r="K81" s="46">
        <v>51</v>
      </c>
      <c r="L81" s="46">
        <v>47</v>
      </c>
      <c r="M81" s="48">
        <v>0.14893617021276601</v>
      </c>
    </row>
    <row r="82" spans="1:13" x14ac:dyDescent="0.35">
      <c r="A82" t="s">
        <v>144</v>
      </c>
      <c r="B82" t="s">
        <v>36</v>
      </c>
      <c r="C82" t="s">
        <v>153</v>
      </c>
      <c r="D82" t="s">
        <v>146</v>
      </c>
      <c r="E82" t="s">
        <v>147</v>
      </c>
      <c r="F82" t="s">
        <v>16</v>
      </c>
      <c r="G82" t="s">
        <v>17</v>
      </c>
      <c r="H82" s="46">
        <v>0</v>
      </c>
      <c r="I82" s="46">
        <v>0</v>
      </c>
      <c r="J82" s="46">
        <v>0</v>
      </c>
      <c r="K82" s="46">
        <v>4</v>
      </c>
      <c r="L82" s="46">
        <v>4</v>
      </c>
      <c r="M82" s="48">
        <v>0</v>
      </c>
    </row>
    <row r="83" spans="1:13" x14ac:dyDescent="0.35">
      <c r="A83" t="s">
        <v>144</v>
      </c>
      <c r="B83" t="s">
        <v>36</v>
      </c>
      <c r="C83" t="s">
        <v>154</v>
      </c>
      <c r="D83" t="s">
        <v>146</v>
      </c>
      <c r="E83" t="s">
        <v>147</v>
      </c>
      <c r="F83" t="s">
        <v>16</v>
      </c>
      <c r="G83" t="s">
        <v>17</v>
      </c>
      <c r="H83" s="46">
        <v>1</v>
      </c>
      <c r="I83" s="46">
        <v>1</v>
      </c>
      <c r="J83" s="46">
        <v>0</v>
      </c>
      <c r="K83" s="46">
        <v>15</v>
      </c>
      <c r="L83" s="46">
        <v>15</v>
      </c>
      <c r="M83" s="48">
        <v>6.6666666666666693E-2</v>
      </c>
    </row>
    <row r="84" spans="1:13" x14ac:dyDescent="0.35">
      <c r="A84" t="s">
        <v>144</v>
      </c>
      <c r="B84" t="s">
        <v>36</v>
      </c>
      <c r="C84" t="s">
        <v>155</v>
      </c>
      <c r="D84" t="s">
        <v>146</v>
      </c>
      <c r="E84" t="s">
        <v>147</v>
      </c>
      <c r="F84" t="s">
        <v>16</v>
      </c>
      <c r="G84" t="s">
        <v>17</v>
      </c>
      <c r="H84" s="46">
        <v>2</v>
      </c>
      <c r="I84" s="46">
        <v>2</v>
      </c>
      <c r="J84" s="46">
        <v>0</v>
      </c>
      <c r="K84" s="46">
        <v>13</v>
      </c>
      <c r="L84" s="46">
        <v>11</v>
      </c>
      <c r="M84" s="48">
        <v>0.18181818181818199</v>
      </c>
    </row>
    <row r="85" spans="1:13" x14ac:dyDescent="0.35">
      <c r="A85" t="s">
        <v>144</v>
      </c>
      <c r="B85" t="s">
        <v>36</v>
      </c>
      <c r="C85" t="s">
        <v>156</v>
      </c>
      <c r="D85" t="s">
        <v>146</v>
      </c>
      <c r="E85" t="s">
        <v>147</v>
      </c>
      <c r="F85" t="s">
        <v>16</v>
      </c>
      <c r="G85" t="s">
        <v>17</v>
      </c>
      <c r="H85" s="46">
        <v>1</v>
      </c>
      <c r="I85" s="46">
        <v>1</v>
      </c>
      <c r="J85" s="46">
        <v>0</v>
      </c>
      <c r="K85" s="46">
        <v>13</v>
      </c>
      <c r="L85" s="46">
        <v>12</v>
      </c>
      <c r="M85" s="48">
        <v>8.3333333333333301E-2</v>
      </c>
    </row>
    <row r="86" spans="1:13" x14ac:dyDescent="0.35">
      <c r="A86" t="s">
        <v>144</v>
      </c>
      <c r="B86" t="s">
        <v>36</v>
      </c>
      <c r="C86" t="s">
        <v>157</v>
      </c>
      <c r="D86" t="s">
        <v>146</v>
      </c>
      <c r="E86" t="s">
        <v>147</v>
      </c>
      <c r="F86" t="s">
        <v>16</v>
      </c>
      <c r="G86" t="s">
        <v>17</v>
      </c>
      <c r="H86" s="46">
        <v>0</v>
      </c>
      <c r="I86" s="46">
        <v>0</v>
      </c>
      <c r="J86" s="46">
        <v>0</v>
      </c>
      <c r="K86" s="46">
        <v>14</v>
      </c>
      <c r="L86" s="46">
        <v>12</v>
      </c>
      <c r="M86" s="48">
        <v>0</v>
      </c>
    </row>
    <row r="87" spans="1:13" x14ac:dyDescent="0.35">
      <c r="A87" t="s">
        <v>144</v>
      </c>
      <c r="B87" t="s">
        <v>36</v>
      </c>
      <c r="C87" t="s">
        <v>158</v>
      </c>
      <c r="D87" t="s">
        <v>146</v>
      </c>
      <c r="E87" t="s">
        <v>147</v>
      </c>
      <c r="F87" t="s">
        <v>16</v>
      </c>
      <c r="G87" t="s">
        <v>17</v>
      </c>
      <c r="H87" s="46">
        <v>4</v>
      </c>
      <c r="I87" s="46">
        <v>4</v>
      </c>
      <c r="J87" s="46">
        <v>0</v>
      </c>
      <c r="K87" s="46">
        <v>34</v>
      </c>
      <c r="L87" s="46">
        <v>33</v>
      </c>
      <c r="M87" s="48">
        <v>0.12121212121212099</v>
      </c>
    </row>
    <row r="88" spans="1:13" x14ac:dyDescent="0.35">
      <c r="A88" t="s">
        <v>144</v>
      </c>
      <c r="B88" t="s">
        <v>36</v>
      </c>
      <c r="C88" t="s">
        <v>145</v>
      </c>
      <c r="D88" t="s">
        <v>146</v>
      </c>
      <c r="E88" t="s">
        <v>147</v>
      </c>
      <c r="F88" t="s">
        <v>28</v>
      </c>
      <c r="G88" t="s">
        <v>29</v>
      </c>
      <c r="H88" s="46">
        <v>4</v>
      </c>
      <c r="I88" s="46">
        <v>4</v>
      </c>
      <c r="J88" s="46">
        <v>0</v>
      </c>
      <c r="K88" s="46">
        <v>15</v>
      </c>
      <c r="L88" s="46">
        <v>15</v>
      </c>
      <c r="M88" s="48">
        <v>0.266666666666667</v>
      </c>
    </row>
    <row r="89" spans="1:13" x14ac:dyDescent="0.35">
      <c r="A89" t="s">
        <v>144</v>
      </c>
      <c r="B89" t="s">
        <v>36</v>
      </c>
      <c r="C89" t="s">
        <v>150</v>
      </c>
      <c r="D89" t="s">
        <v>146</v>
      </c>
      <c r="E89" t="s">
        <v>159</v>
      </c>
      <c r="F89" t="s">
        <v>18</v>
      </c>
      <c r="G89" t="s">
        <v>19</v>
      </c>
      <c r="H89" s="46">
        <v>1</v>
      </c>
      <c r="I89" s="46">
        <v>1</v>
      </c>
      <c r="J89" s="46">
        <v>0</v>
      </c>
      <c r="K89" s="46">
        <v>7</v>
      </c>
      <c r="L89" s="46">
        <v>7</v>
      </c>
      <c r="M89" s="48">
        <v>0.14285714285714299</v>
      </c>
    </row>
    <row r="90" spans="1:13" x14ac:dyDescent="0.35">
      <c r="A90" t="s">
        <v>144</v>
      </c>
      <c r="B90" t="s">
        <v>36</v>
      </c>
      <c r="C90" t="s">
        <v>151</v>
      </c>
      <c r="D90" t="s">
        <v>146</v>
      </c>
      <c r="E90" t="s">
        <v>159</v>
      </c>
      <c r="F90" t="s">
        <v>18</v>
      </c>
      <c r="G90" t="s">
        <v>19</v>
      </c>
      <c r="H90" s="46">
        <v>0</v>
      </c>
      <c r="I90" s="46">
        <v>0</v>
      </c>
      <c r="J90" s="46">
        <v>0</v>
      </c>
      <c r="K90" s="46">
        <v>9</v>
      </c>
      <c r="L90" s="46">
        <v>9</v>
      </c>
      <c r="M90" s="48">
        <v>0</v>
      </c>
    </row>
    <row r="91" spans="1:13" x14ac:dyDescent="0.35">
      <c r="A91" t="s">
        <v>144</v>
      </c>
      <c r="B91" t="s">
        <v>36</v>
      </c>
      <c r="C91" t="s">
        <v>152</v>
      </c>
      <c r="D91" t="s">
        <v>146</v>
      </c>
      <c r="E91" t="s">
        <v>159</v>
      </c>
      <c r="F91" t="s">
        <v>18</v>
      </c>
      <c r="G91" t="s">
        <v>19</v>
      </c>
      <c r="H91" s="46">
        <v>8</v>
      </c>
      <c r="I91" s="46">
        <v>8</v>
      </c>
      <c r="J91" s="46">
        <v>0</v>
      </c>
      <c r="K91" s="46">
        <v>60</v>
      </c>
      <c r="L91" s="46">
        <v>57</v>
      </c>
      <c r="M91" s="48">
        <v>0.140350877192982</v>
      </c>
    </row>
    <row r="92" spans="1:13" x14ac:dyDescent="0.35">
      <c r="A92" t="s">
        <v>144</v>
      </c>
      <c r="B92" t="s">
        <v>36</v>
      </c>
      <c r="C92" t="s">
        <v>153</v>
      </c>
      <c r="D92" t="s">
        <v>146</v>
      </c>
      <c r="E92" t="s">
        <v>159</v>
      </c>
      <c r="F92" t="s">
        <v>18</v>
      </c>
      <c r="G92" t="s">
        <v>19</v>
      </c>
      <c r="H92" s="46">
        <v>0</v>
      </c>
      <c r="I92" s="46">
        <v>0</v>
      </c>
      <c r="J92" s="46">
        <v>0</v>
      </c>
      <c r="K92" s="46">
        <v>3</v>
      </c>
      <c r="L92" s="46">
        <v>3</v>
      </c>
      <c r="M92" s="48">
        <v>0</v>
      </c>
    </row>
    <row r="93" spans="1:13" x14ac:dyDescent="0.35">
      <c r="A93" t="s">
        <v>144</v>
      </c>
      <c r="B93" t="s">
        <v>36</v>
      </c>
      <c r="C93" t="s">
        <v>154</v>
      </c>
      <c r="D93" t="s">
        <v>146</v>
      </c>
      <c r="E93" t="s">
        <v>159</v>
      </c>
      <c r="F93" t="s">
        <v>18</v>
      </c>
      <c r="G93" t="s">
        <v>19</v>
      </c>
      <c r="H93" s="46">
        <v>0</v>
      </c>
      <c r="I93" s="46">
        <v>0</v>
      </c>
      <c r="J93" s="46">
        <v>0</v>
      </c>
      <c r="K93" s="46">
        <v>19</v>
      </c>
      <c r="L93" s="46">
        <v>18</v>
      </c>
      <c r="M93" s="48">
        <v>0</v>
      </c>
    </row>
    <row r="94" spans="1:13" x14ac:dyDescent="0.35">
      <c r="A94" t="s">
        <v>144</v>
      </c>
      <c r="B94" t="s">
        <v>36</v>
      </c>
      <c r="C94" t="s">
        <v>148</v>
      </c>
      <c r="D94" t="s">
        <v>146</v>
      </c>
      <c r="E94" t="s">
        <v>159</v>
      </c>
      <c r="F94" t="s">
        <v>18</v>
      </c>
      <c r="G94" t="s">
        <v>19</v>
      </c>
      <c r="H94" s="46">
        <v>4</v>
      </c>
      <c r="I94" s="46">
        <v>4</v>
      </c>
      <c r="J94" s="46">
        <v>0</v>
      </c>
      <c r="K94" s="46">
        <v>77</v>
      </c>
      <c r="L94" s="46">
        <v>74</v>
      </c>
      <c r="M94" s="48">
        <v>5.4054054054054099E-2</v>
      </c>
    </row>
    <row r="95" spans="1:13" x14ac:dyDescent="0.35">
      <c r="A95" t="s">
        <v>144</v>
      </c>
      <c r="B95" t="s">
        <v>36</v>
      </c>
      <c r="C95" t="s">
        <v>155</v>
      </c>
      <c r="D95" t="s">
        <v>146</v>
      </c>
      <c r="E95" t="s">
        <v>159</v>
      </c>
      <c r="F95" t="s">
        <v>18</v>
      </c>
      <c r="G95" t="s">
        <v>19</v>
      </c>
      <c r="H95" s="46">
        <v>2</v>
      </c>
      <c r="I95" s="46">
        <v>2</v>
      </c>
      <c r="J95" s="46">
        <v>0</v>
      </c>
      <c r="K95" s="46">
        <v>7</v>
      </c>
      <c r="L95" s="46">
        <v>7</v>
      </c>
      <c r="M95" s="48">
        <v>0.28571428571428598</v>
      </c>
    </row>
    <row r="96" spans="1:13" x14ac:dyDescent="0.35">
      <c r="A96" t="s">
        <v>144</v>
      </c>
      <c r="B96" t="s">
        <v>36</v>
      </c>
      <c r="C96" t="s">
        <v>156</v>
      </c>
      <c r="D96" t="s">
        <v>146</v>
      </c>
      <c r="E96" t="s">
        <v>159</v>
      </c>
      <c r="F96" t="s">
        <v>18</v>
      </c>
      <c r="G96" t="s">
        <v>19</v>
      </c>
      <c r="H96" s="46">
        <v>1</v>
      </c>
      <c r="I96" s="46">
        <v>1</v>
      </c>
      <c r="J96" s="46">
        <v>0</v>
      </c>
      <c r="K96" s="46">
        <v>11</v>
      </c>
      <c r="L96" s="46">
        <v>10</v>
      </c>
      <c r="M96" s="48">
        <v>0.1</v>
      </c>
    </row>
    <row r="97" spans="1:13" x14ac:dyDescent="0.35">
      <c r="A97" t="s">
        <v>144</v>
      </c>
      <c r="B97" t="s">
        <v>36</v>
      </c>
      <c r="C97" t="s">
        <v>157</v>
      </c>
      <c r="D97" t="s">
        <v>146</v>
      </c>
      <c r="E97" t="s">
        <v>159</v>
      </c>
      <c r="F97" t="s">
        <v>18</v>
      </c>
      <c r="G97" t="s">
        <v>19</v>
      </c>
      <c r="H97" s="46">
        <v>0</v>
      </c>
      <c r="I97" s="46">
        <v>0</v>
      </c>
      <c r="J97" s="46">
        <v>0</v>
      </c>
      <c r="K97" s="46">
        <v>12</v>
      </c>
      <c r="L97" s="46">
        <v>10</v>
      </c>
      <c r="M97" s="48">
        <v>0</v>
      </c>
    </row>
    <row r="98" spans="1:13" x14ac:dyDescent="0.35">
      <c r="A98" t="s">
        <v>144</v>
      </c>
      <c r="B98" t="s">
        <v>36</v>
      </c>
      <c r="C98" t="s">
        <v>158</v>
      </c>
      <c r="D98" t="s">
        <v>146</v>
      </c>
      <c r="E98" t="s">
        <v>159</v>
      </c>
      <c r="F98" t="s">
        <v>18</v>
      </c>
      <c r="G98" t="s">
        <v>19</v>
      </c>
      <c r="H98" s="46">
        <v>5</v>
      </c>
      <c r="I98" s="46">
        <v>5</v>
      </c>
      <c r="J98" s="46">
        <v>0</v>
      </c>
      <c r="K98" s="46">
        <v>45</v>
      </c>
      <c r="L98" s="46">
        <v>44</v>
      </c>
      <c r="M98" s="48">
        <v>0.11363636363636399</v>
      </c>
    </row>
    <row r="99" spans="1:13" x14ac:dyDescent="0.35">
      <c r="A99" t="s">
        <v>144</v>
      </c>
      <c r="B99" t="s">
        <v>36</v>
      </c>
      <c r="C99" t="s">
        <v>154</v>
      </c>
      <c r="D99" t="s">
        <v>146</v>
      </c>
      <c r="E99" t="s">
        <v>160</v>
      </c>
      <c r="F99" t="s">
        <v>16</v>
      </c>
      <c r="G99" t="s">
        <v>20</v>
      </c>
      <c r="H99" s="46">
        <v>0</v>
      </c>
      <c r="I99" s="46">
        <v>0</v>
      </c>
      <c r="J99" s="46">
        <v>0</v>
      </c>
      <c r="K99" s="46">
        <v>13</v>
      </c>
      <c r="L99" s="46">
        <v>12</v>
      </c>
      <c r="M99" s="48">
        <v>0</v>
      </c>
    </row>
    <row r="100" spans="1:13" x14ac:dyDescent="0.35">
      <c r="A100" t="s">
        <v>144</v>
      </c>
      <c r="B100" t="s">
        <v>36</v>
      </c>
      <c r="C100" t="s">
        <v>152</v>
      </c>
      <c r="D100" t="s">
        <v>146</v>
      </c>
      <c r="E100" t="s">
        <v>160</v>
      </c>
      <c r="F100" t="s">
        <v>16</v>
      </c>
      <c r="G100" t="s">
        <v>20</v>
      </c>
      <c r="H100" s="46">
        <v>15</v>
      </c>
      <c r="I100" s="46">
        <v>15</v>
      </c>
      <c r="J100" s="46">
        <v>0</v>
      </c>
      <c r="K100" s="46">
        <v>78</v>
      </c>
      <c r="L100" s="46">
        <v>70</v>
      </c>
      <c r="M100" s="48">
        <v>0.214285714285714</v>
      </c>
    </row>
    <row r="101" spans="1:13" x14ac:dyDescent="0.35">
      <c r="A101" t="s">
        <v>144</v>
      </c>
      <c r="B101" t="s">
        <v>36</v>
      </c>
      <c r="C101" t="s">
        <v>156</v>
      </c>
      <c r="D101" t="s">
        <v>146</v>
      </c>
      <c r="E101" t="s">
        <v>160</v>
      </c>
      <c r="F101" t="s">
        <v>16</v>
      </c>
      <c r="G101" t="s">
        <v>20</v>
      </c>
      <c r="H101" s="46">
        <v>1</v>
      </c>
      <c r="I101" s="46">
        <v>1</v>
      </c>
      <c r="J101" s="46">
        <v>0</v>
      </c>
      <c r="K101" s="46">
        <v>9</v>
      </c>
      <c r="L101" s="46">
        <v>9</v>
      </c>
      <c r="M101" s="48">
        <v>0.11111111111111099</v>
      </c>
    </row>
    <row r="102" spans="1:13" x14ac:dyDescent="0.35">
      <c r="A102" t="s">
        <v>144</v>
      </c>
      <c r="B102" t="s">
        <v>36</v>
      </c>
      <c r="C102" t="s">
        <v>157</v>
      </c>
      <c r="D102" t="s">
        <v>146</v>
      </c>
      <c r="E102" t="s">
        <v>160</v>
      </c>
      <c r="F102" t="s">
        <v>16</v>
      </c>
      <c r="G102" t="s">
        <v>20</v>
      </c>
      <c r="H102" s="46">
        <v>1</v>
      </c>
      <c r="I102" s="46">
        <v>1</v>
      </c>
      <c r="J102" s="46">
        <v>0</v>
      </c>
      <c r="K102" s="46">
        <v>13</v>
      </c>
      <c r="L102" s="46">
        <v>11</v>
      </c>
      <c r="M102" s="48">
        <v>9.0909090909090898E-2</v>
      </c>
    </row>
    <row r="103" spans="1:13" x14ac:dyDescent="0.35">
      <c r="A103" t="s">
        <v>144</v>
      </c>
      <c r="B103" t="s">
        <v>36</v>
      </c>
      <c r="C103" t="s">
        <v>148</v>
      </c>
      <c r="D103" t="s">
        <v>146</v>
      </c>
      <c r="E103" t="s">
        <v>160</v>
      </c>
      <c r="F103" t="s">
        <v>16</v>
      </c>
      <c r="G103" t="s">
        <v>20</v>
      </c>
      <c r="H103" s="46">
        <v>11</v>
      </c>
      <c r="I103" s="46">
        <v>11</v>
      </c>
      <c r="J103" s="46">
        <v>0</v>
      </c>
      <c r="K103" s="46">
        <v>126</v>
      </c>
      <c r="L103" s="46">
        <v>116</v>
      </c>
      <c r="M103" s="48">
        <v>9.4827586206896505E-2</v>
      </c>
    </row>
    <row r="104" spans="1:13" x14ac:dyDescent="0.35">
      <c r="A104" t="s">
        <v>144</v>
      </c>
      <c r="B104" t="s">
        <v>36</v>
      </c>
      <c r="C104" t="s">
        <v>155</v>
      </c>
      <c r="D104" t="s">
        <v>146</v>
      </c>
      <c r="E104" t="s">
        <v>160</v>
      </c>
      <c r="F104" t="s">
        <v>16</v>
      </c>
      <c r="G104" t="s">
        <v>20</v>
      </c>
      <c r="H104" s="46">
        <v>1</v>
      </c>
      <c r="I104" s="46">
        <v>1</v>
      </c>
      <c r="J104" s="46">
        <v>0</v>
      </c>
      <c r="K104" s="46">
        <v>5</v>
      </c>
      <c r="L104" s="46">
        <v>5</v>
      </c>
      <c r="M104" s="48">
        <v>0.2</v>
      </c>
    </row>
    <row r="105" spans="1:13" x14ac:dyDescent="0.35">
      <c r="A105" t="s">
        <v>144</v>
      </c>
      <c r="B105" t="s">
        <v>36</v>
      </c>
      <c r="C105" t="s">
        <v>150</v>
      </c>
      <c r="D105" t="s">
        <v>146</v>
      </c>
      <c r="E105" t="s">
        <v>160</v>
      </c>
      <c r="F105" t="s">
        <v>16</v>
      </c>
      <c r="G105" t="s">
        <v>20</v>
      </c>
      <c r="H105" s="46">
        <v>1</v>
      </c>
      <c r="I105" s="46">
        <v>1</v>
      </c>
      <c r="J105" s="46">
        <v>0</v>
      </c>
      <c r="K105" s="46">
        <v>8</v>
      </c>
      <c r="L105" s="46">
        <v>8</v>
      </c>
      <c r="M105" s="48">
        <v>0.125</v>
      </c>
    </row>
    <row r="106" spans="1:13" x14ac:dyDescent="0.35">
      <c r="A106" t="s">
        <v>144</v>
      </c>
      <c r="B106" t="s">
        <v>36</v>
      </c>
      <c r="C106" t="s">
        <v>158</v>
      </c>
      <c r="D106" t="s">
        <v>146</v>
      </c>
      <c r="E106" t="s">
        <v>160</v>
      </c>
      <c r="F106" t="s">
        <v>16</v>
      </c>
      <c r="G106" t="s">
        <v>20</v>
      </c>
      <c r="H106" s="46">
        <v>6</v>
      </c>
      <c r="I106" s="46">
        <v>6</v>
      </c>
      <c r="J106" s="46">
        <v>0</v>
      </c>
      <c r="K106" s="46">
        <v>37</v>
      </c>
      <c r="L106" s="46">
        <v>34</v>
      </c>
      <c r="M106" s="48">
        <v>0.17647058823529399</v>
      </c>
    </row>
    <row r="107" spans="1:13" x14ac:dyDescent="0.35">
      <c r="A107" t="s">
        <v>144</v>
      </c>
      <c r="B107" t="s">
        <v>36</v>
      </c>
      <c r="C107" t="s">
        <v>151</v>
      </c>
      <c r="D107" t="s">
        <v>146</v>
      </c>
      <c r="E107" t="s">
        <v>160</v>
      </c>
      <c r="F107" t="s">
        <v>16</v>
      </c>
      <c r="G107" t="s">
        <v>20</v>
      </c>
      <c r="H107" s="46">
        <v>0</v>
      </c>
      <c r="I107" s="46">
        <v>0</v>
      </c>
      <c r="J107" s="46">
        <v>0</v>
      </c>
      <c r="K107" s="46">
        <v>9</v>
      </c>
      <c r="L107" s="46">
        <v>9</v>
      </c>
      <c r="M107" s="48">
        <v>0</v>
      </c>
    </row>
    <row r="108" spans="1:13" x14ac:dyDescent="0.35">
      <c r="A108" t="s">
        <v>144</v>
      </c>
      <c r="B108" t="s">
        <v>36</v>
      </c>
      <c r="C108" t="s">
        <v>153</v>
      </c>
      <c r="D108" t="s">
        <v>146</v>
      </c>
      <c r="E108" t="s">
        <v>160</v>
      </c>
      <c r="F108" t="s">
        <v>16</v>
      </c>
      <c r="G108" t="s">
        <v>20</v>
      </c>
      <c r="H108" s="46">
        <v>1</v>
      </c>
      <c r="I108" s="46">
        <v>1</v>
      </c>
      <c r="J108" s="46">
        <v>0</v>
      </c>
      <c r="K108" s="46">
        <v>5</v>
      </c>
      <c r="L108" s="46">
        <v>5</v>
      </c>
      <c r="M108" s="48">
        <v>0.2</v>
      </c>
    </row>
    <row r="109" spans="1:13" x14ac:dyDescent="0.35">
      <c r="A109" t="s">
        <v>144</v>
      </c>
      <c r="B109" t="s">
        <v>36</v>
      </c>
      <c r="C109" t="s">
        <v>145</v>
      </c>
      <c r="D109" t="s">
        <v>146</v>
      </c>
      <c r="E109" t="s">
        <v>161</v>
      </c>
      <c r="F109" t="s">
        <v>28</v>
      </c>
      <c r="G109" t="s">
        <v>29</v>
      </c>
      <c r="H109" s="46">
        <v>3</v>
      </c>
      <c r="I109" s="46">
        <v>3</v>
      </c>
      <c r="J109" s="46">
        <v>0</v>
      </c>
      <c r="K109" s="46">
        <v>24</v>
      </c>
      <c r="L109" s="46">
        <v>24</v>
      </c>
      <c r="M109" s="48">
        <v>0.125</v>
      </c>
    </row>
    <row r="110" spans="1:13" x14ac:dyDescent="0.35">
      <c r="A110" t="s">
        <v>144</v>
      </c>
      <c r="B110" t="s">
        <v>36</v>
      </c>
      <c r="C110" t="s">
        <v>157</v>
      </c>
      <c r="D110" t="s">
        <v>162</v>
      </c>
      <c r="E110" t="s">
        <v>163</v>
      </c>
      <c r="F110" t="s">
        <v>21</v>
      </c>
      <c r="G110" t="s">
        <v>164</v>
      </c>
      <c r="H110" s="46">
        <v>0</v>
      </c>
      <c r="I110" s="46">
        <v>0</v>
      </c>
      <c r="J110" s="46">
        <v>0</v>
      </c>
      <c r="K110" s="46">
        <v>11</v>
      </c>
      <c r="L110" s="46">
        <v>7</v>
      </c>
      <c r="M110" s="48">
        <v>0</v>
      </c>
    </row>
    <row r="111" spans="1:13" x14ac:dyDescent="0.35">
      <c r="A111" t="s">
        <v>144</v>
      </c>
      <c r="B111" t="s">
        <v>36</v>
      </c>
      <c r="C111" t="s">
        <v>152</v>
      </c>
      <c r="D111" t="s">
        <v>146</v>
      </c>
      <c r="E111" t="s">
        <v>165</v>
      </c>
      <c r="F111" t="s">
        <v>18</v>
      </c>
      <c r="G111" t="s">
        <v>23</v>
      </c>
      <c r="H111" s="46">
        <v>7</v>
      </c>
      <c r="I111" s="46">
        <v>7</v>
      </c>
      <c r="J111" s="46">
        <v>0</v>
      </c>
      <c r="K111" s="46">
        <v>56</v>
      </c>
      <c r="L111" s="46">
        <v>49</v>
      </c>
      <c r="M111" s="48">
        <v>0.14285714285714299</v>
      </c>
    </row>
    <row r="112" spans="1:13" x14ac:dyDescent="0.35">
      <c r="A112" t="s">
        <v>144</v>
      </c>
      <c r="B112" t="s">
        <v>36</v>
      </c>
      <c r="C112" t="s">
        <v>150</v>
      </c>
      <c r="D112" t="s">
        <v>146</v>
      </c>
      <c r="E112" t="s">
        <v>166</v>
      </c>
      <c r="F112" t="s">
        <v>18</v>
      </c>
      <c r="G112" t="s">
        <v>23</v>
      </c>
      <c r="H112" s="46">
        <v>1</v>
      </c>
      <c r="I112" s="46">
        <v>1</v>
      </c>
      <c r="J112" s="46">
        <v>0</v>
      </c>
      <c r="K112" s="46">
        <v>5</v>
      </c>
      <c r="L112" s="46">
        <v>5</v>
      </c>
      <c r="M112" s="48">
        <v>0.2</v>
      </c>
    </row>
    <row r="113" spans="1:13" x14ac:dyDescent="0.35">
      <c r="A113" t="s">
        <v>144</v>
      </c>
      <c r="B113" t="s">
        <v>36</v>
      </c>
      <c r="C113" t="s">
        <v>151</v>
      </c>
      <c r="D113" t="s">
        <v>146</v>
      </c>
      <c r="E113" t="s">
        <v>166</v>
      </c>
      <c r="F113" t="s">
        <v>18</v>
      </c>
      <c r="G113" t="s">
        <v>23</v>
      </c>
      <c r="H113" s="46">
        <v>1</v>
      </c>
      <c r="I113" s="46">
        <v>1</v>
      </c>
      <c r="J113" s="46">
        <v>0</v>
      </c>
      <c r="K113" s="46">
        <v>10</v>
      </c>
      <c r="L113" s="46">
        <v>10</v>
      </c>
      <c r="M113" s="48">
        <v>0.1</v>
      </c>
    </row>
    <row r="114" spans="1:13" x14ac:dyDescent="0.35">
      <c r="A114" t="s">
        <v>144</v>
      </c>
      <c r="B114" t="s">
        <v>36</v>
      </c>
      <c r="C114" t="s">
        <v>153</v>
      </c>
      <c r="D114" t="s">
        <v>146</v>
      </c>
      <c r="E114" t="s">
        <v>166</v>
      </c>
      <c r="F114" t="s">
        <v>18</v>
      </c>
      <c r="G114" t="s">
        <v>23</v>
      </c>
      <c r="H114" s="46">
        <v>0</v>
      </c>
      <c r="I114" s="46">
        <v>0</v>
      </c>
      <c r="J114" s="46">
        <v>0</v>
      </c>
      <c r="K114" s="46">
        <v>4</v>
      </c>
      <c r="L114" s="46">
        <v>4</v>
      </c>
      <c r="M114" s="48">
        <v>0</v>
      </c>
    </row>
    <row r="115" spans="1:13" x14ac:dyDescent="0.35">
      <c r="A115" t="s">
        <v>144</v>
      </c>
      <c r="B115" t="s">
        <v>36</v>
      </c>
      <c r="C115" t="s">
        <v>154</v>
      </c>
      <c r="D115" t="s">
        <v>146</v>
      </c>
      <c r="E115" t="s">
        <v>166</v>
      </c>
      <c r="F115" t="s">
        <v>18</v>
      </c>
      <c r="G115" t="s">
        <v>23</v>
      </c>
      <c r="H115" s="46">
        <v>1</v>
      </c>
      <c r="I115" s="46">
        <v>1</v>
      </c>
      <c r="J115" s="46">
        <v>0</v>
      </c>
      <c r="K115" s="46">
        <v>9</v>
      </c>
      <c r="L115" s="46">
        <v>9</v>
      </c>
      <c r="M115" s="48">
        <v>0.11111111111111099</v>
      </c>
    </row>
    <row r="116" spans="1:13" x14ac:dyDescent="0.35">
      <c r="A116" t="s">
        <v>144</v>
      </c>
      <c r="B116" t="s">
        <v>36</v>
      </c>
      <c r="C116" t="s">
        <v>148</v>
      </c>
      <c r="D116" t="s">
        <v>146</v>
      </c>
      <c r="E116" t="s">
        <v>166</v>
      </c>
      <c r="F116" t="s">
        <v>18</v>
      </c>
      <c r="G116" t="s">
        <v>23</v>
      </c>
      <c r="H116" s="46">
        <v>11</v>
      </c>
      <c r="I116" s="46">
        <v>10</v>
      </c>
      <c r="J116" s="46">
        <v>1</v>
      </c>
      <c r="K116" s="46">
        <v>159</v>
      </c>
      <c r="L116" s="46">
        <v>150</v>
      </c>
      <c r="M116" s="48">
        <v>7.3333333333333306E-2</v>
      </c>
    </row>
    <row r="117" spans="1:13" x14ac:dyDescent="0.35">
      <c r="A117" t="s">
        <v>144</v>
      </c>
      <c r="B117" t="s">
        <v>36</v>
      </c>
      <c r="C117" t="s">
        <v>155</v>
      </c>
      <c r="D117" t="s">
        <v>146</v>
      </c>
      <c r="E117" t="s">
        <v>166</v>
      </c>
      <c r="F117" t="s">
        <v>18</v>
      </c>
      <c r="G117" t="s">
        <v>23</v>
      </c>
      <c r="H117" s="46">
        <v>1</v>
      </c>
      <c r="I117" s="46">
        <v>1</v>
      </c>
      <c r="J117" s="46">
        <v>0</v>
      </c>
      <c r="K117" s="46">
        <v>9</v>
      </c>
      <c r="L117" s="46">
        <v>9</v>
      </c>
      <c r="M117" s="48">
        <v>0.11111111111111099</v>
      </c>
    </row>
    <row r="118" spans="1:13" x14ac:dyDescent="0.35">
      <c r="A118" t="s">
        <v>144</v>
      </c>
      <c r="B118" t="s">
        <v>36</v>
      </c>
      <c r="C118" t="s">
        <v>156</v>
      </c>
      <c r="D118" t="s">
        <v>146</v>
      </c>
      <c r="E118" t="s">
        <v>166</v>
      </c>
      <c r="F118" t="s">
        <v>18</v>
      </c>
      <c r="G118" t="s">
        <v>23</v>
      </c>
      <c r="H118" s="46">
        <v>2</v>
      </c>
      <c r="I118" s="46">
        <v>2</v>
      </c>
      <c r="J118" s="46">
        <v>0</v>
      </c>
      <c r="K118" s="46">
        <v>11</v>
      </c>
      <c r="L118" s="46">
        <v>11</v>
      </c>
      <c r="M118" s="48">
        <v>0.18181818181818199</v>
      </c>
    </row>
    <row r="119" spans="1:13" x14ac:dyDescent="0.35">
      <c r="A119" t="s">
        <v>144</v>
      </c>
      <c r="B119" t="s">
        <v>36</v>
      </c>
      <c r="C119" t="s">
        <v>157</v>
      </c>
      <c r="D119" t="s">
        <v>146</v>
      </c>
      <c r="E119" t="s">
        <v>166</v>
      </c>
      <c r="F119" t="s">
        <v>18</v>
      </c>
      <c r="G119" t="s">
        <v>23</v>
      </c>
      <c r="H119" s="46">
        <v>1</v>
      </c>
      <c r="I119" s="46">
        <v>1</v>
      </c>
      <c r="J119" s="46">
        <v>0</v>
      </c>
      <c r="K119" s="46">
        <v>14</v>
      </c>
      <c r="L119" s="46">
        <v>13</v>
      </c>
      <c r="M119" s="48">
        <v>7.69230769230769E-2</v>
      </c>
    </row>
    <row r="120" spans="1:13" x14ac:dyDescent="0.35">
      <c r="A120" t="s">
        <v>144</v>
      </c>
      <c r="B120" t="s">
        <v>36</v>
      </c>
      <c r="C120" t="s">
        <v>158</v>
      </c>
      <c r="D120" t="s">
        <v>146</v>
      </c>
      <c r="E120" t="s">
        <v>166</v>
      </c>
      <c r="F120" t="s">
        <v>18</v>
      </c>
      <c r="G120" t="s">
        <v>23</v>
      </c>
      <c r="H120" s="46">
        <v>1</v>
      </c>
      <c r="I120" s="46">
        <v>1</v>
      </c>
      <c r="J120" s="46">
        <v>0</v>
      </c>
      <c r="K120" s="46">
        <v>20</v>
      </c>
      <c r="L120" s="46">
        <v>20</v>
      </c>
      <c r="M120" s="48">
        <v>0.05</v>
      </c>
    </row>
    <row r="121" spans="1:13" x14ac:dyDescent="0.35">
      <c r="A121" t="s">
        <v>144</v>
      </c>
      <c r="B121" t="s">
        <v>36</v>
      </c>
      <c r="C121" t="s">
        <v>148</v>
      </c>
      <c r="D121" t="s">
        <v>146</v>
      </c>
      <c r="E121" t="s">
        <v>167</v>
      </c>
      <c r="F121" t="s">
        <v>21</v>
      </c>
      <c r="G121" t="s">
        <v>164</v>
      </c>
      <c r="H121" s="46">
        <v>16</v>
      </c>
      <c r="I121" s="46">
        <v>16</v>
      </c>
      <c r="J121" s="46">
        <v>0</v>
      </c>
      <c r="K121" s="46">
        <v>306</v>
      </c>
      <c r="L121" s="46">
        <v>284</v>
      </c>
      <c r="M121" s="48">
        <v>5.63380281690141E-2</v>
      </c>
    </row>
    <row r="122" spans="1:13" x14ac:dyDescent="0.35">
      <c r="A122" t="s">
        <v>144</v>
      </c>
      <c r="B122" t="s">
        <v>36</v>
      </c>
      <c r="C122" t="s">
        <v>150</v>
      </c>
      <c r="D122" t="s">
        <v>146</v>
      </c>
      <c r="E122" t="s">
        <v>168</v>
      </c>
      <c r="F122" t="s">
        <v>16</v>
      </c>
      <c r="G122" t="s">
        <v>17</v>
      </c>
      <c r="H122" s="46">
        <v>2</v>
      </c>
      <c r="I122" s="46">
        <v>2</v>
      </c>
      <c r="J122" s="46">
        <v>0</v>
      </c>
      <c r="K122" s="46">
        <v>12</v>
      </c>
      <c r="L122" s="46">
        <v>10</v>
      </c>
      <c r="M122" s="48">
        <v>0.2</v>
      </c>
    </row>
    <row r="123" spans="1:13" x14ac:dyDescent="0.35">
      <c r="A123" t="s">
        <v>144</v>
      </c>
      <c r="B123" t="s">
        <v>36</v>
      </c>
      <c r="C123" t="s">
        <v>151</v>
      </c>
      <c r="D123" t="s">
        <v>146</v>
      </c>
      <c r="E123" t="s">
        <v>168</v>
      </c>
      <c r="F123" t="s">
        <v>16</v>
      </c>
      <c r="G123" t="s">
        <v>17</v>
      </c>
      <c r="H123" s="46">
        <v>0</v>
      </c>
      <c r="I123" s="46">
        <v>0</v>
      </c>
      <c r="J123" s="46">
        <v>0</v>
      </c>
      <c r="K123" s="46">
        <v>13</v>
      </c>
      <c r="L123" s="46">
        <v>11</v>
      </c>
      <c r="M123" s="48">
        <v>0</v>
      </c>
    </row>
    <row r="124" spans="1:13" x14ac:dyDescent="0.35">
      <c r="A124" t="s">
        <v>144</v>
      </c>
      <c r="B124" t="s">
        <v>36</v>
      </c>
      <c r="C124" t="s">
        <v>152</v>
      </c>
      <c r="D124" t="s">
        <v>146</v>
      </c>
      <c r="E124" t="s">
        <v>168</v>
      </c>
      <c r="F124" t="s">
        <v>16</v>
      </c>
      <c r="G124" t="s">
        <v>17</v>
      </c>
      <c r="H124" s="46">
        <v>12</v>
      </c>
      <c r="I124" s="46">
        <v>12</v>
      </c>
      <c r="J124" s="46">
        <v>0</v>
      </c>
      <c r="K124" s="46">
        <v>73</v>
      </c>
      <c r="L124" s="46">
        <v>65</v>
      </c>
      <c r="M124" s="48">
        <v>0.18461538461538499</v>
      </c>
    </row>
    <row r="125" spans="1:13" x14ac:dyDescent="0.35">
      <c r="A125" t="s">
        <v>144</v>
      </c>
      <c r="B125" t="s">
        <v>36</v>
      </c>
      <c r="C125" t="s">
        <v>153</v>
      </c>
      <c r="D125" t="s">
        <v>146</v>
      </c>
      <c r="E125" t="s">
        <v>168</v>
      </c>
      <c r="F125" t="s">
        <v>16</v>
      </c>
      <c r="G125" t="s">
        <v>17</v>
      </c>
      <c r="H125" s="46">
        <v>1</v>
      </c>
      <c r="I125" s="46">
        <v>1</v>
      </c>
      <c r="J125" s="46">
        <v>0</v>
      </c>
      <c r="K125" s="46">
        <v>6</v>
      </c>
      <c r="L125" s="46">
        <v>5</v>
      </c>
      <c r="M125" s="48">
        <v>0.2</v>
      </c>
    </row>
    <row r="126" spans="1:13" x14ac:dyDescent="0.35">
      <c r="A126" t="s">
        <v>144</v>
      </c>
      <c r="B126" t="s">
        <v>36</v>
      </c>
      <c r="C126" t="s">
        <v>154</v>
      </c>
      <c r="D126" t="s">
        <v>146</v>
      </c>
      <c r="E126" t="s">
        <v>168</v>
      </c>
      <c r="F126" t="s">
        <v>16</v>
      </c>
      <c r="G126" t="s">
        <v>17</v>
      </c>
      <c r="H126" s="46">
        <v>0</v>
      </c>
      <c r="I126" s="46">
        <v>0</v>
      </c>
      <c r="J126" s="46">
        <v>0</v>
      </c>
      <c r="K126" s="46">
        <v>22</v>
      </c>
      <c r="L126" s="46">
        <v>19</v>
      </c>
      <c r="M126" s="48">
        <v>0</v>
      </c>
    </row>
    <row r="127" spans="1:13" x14ac:dyDescent="0.35">
      <c r="A127" t="s">
        <v>144</v>
      </c>
      <c r="B127" t="s">
        <v>36</v>
      </c>
      <c r="C127" t="s">
        <v>148</v>
      </c>
      <c r="D127" t="s">
        <v>146</v>
      </c>
      <c r="E127" t="s">
        <v>168</v>
      </c>
      <c r="F127" t="s">
        <v>16</v>
      </c>
      <c r="G127" t="s">
        <v>17</v>
      </c>
      <c r="H127" s="46">
        <v>3</v>
      </c>
      <c r="I127" s="46">
        <v>3</v>
      </c>
      <c r="J127" s="46">
        <v>0</v>
      </c>
      <c r="K127" s="46">
        <v>120</v>
      </c>
      <c r="L127" s="46">
        <v>105</v>
      </c>
      <c r="M127" s="48">
        <v>2.8571428571428598E-2</v>
      </c>
    </row>
    <row r="128" spans="1:13" x14ac:dyDescent="0.35">
      <c r="A128" t="s">
        <v>144</v>
      </c>
      <c r="B128" t="s">
        <v>36</v>
      </c>
      <c r="C128" t="s">
        <v>155</v>
      </c>
      <c r="D128" t="s">
        <v>146</v>
      </c>
      <c r="E128" t="s">
        <v>168</v>
      </c>
      <c r="F128" t="s">
        <v>16</v>
      </c>
      <c r="G128" t="s">
        <v>17</v>
      </c>
      <c r="H128" s="46">
        <v>1</v>
      </c>
      <c r="I128" s="46">
        <v>1</v>
      </c>
      <c r="J128" s="46">
        <v>0</v>
      </c>
      <c r="K128" s="46">
        <v>10</v>
      </c>
      <c r="L128" s="46">
        <v>9</v>
      </c>
      <c r="M128" s="48">
        <v>0.11111111111111099</v>
      </c>
    </row>
    <row r="129" spans="1:13" x14ac:dyDescent="0.35">
      <c r="A129" t="s">
        <v>144</v>
      </c>
      <c r="B129" t="s">
        <v>36</v>
      </c>
      <c r="C129" t="s">
        <v>156</v>
      </c>
      <c r="D129" t="s">
        <v>146</v>
      </c>
      <c r="E129" t="s">
        <v>168</v>
      </c>
      <c r="F129" t="s">
        <v>16</v>
      </c>
      <c r="G129" t="s">
        <v>17</v>
      </c>
      <c r="H129" s="46">
        <v>2</v>
      </c>
      <c r="I129" s="46">
        <v>2</v>
      </c>
      <c r="J129" s="46">
        <v>0</v>
      </c>
      <c r="K129" s="46">
        <v>9</v>
      </c>
      <c r="L129" s="46">
        <v>9</v>
      </c>
      <c r="M129" s="48">
        <v>0.22222222222222199</v>
      </c>
    </row>
    <row r="130" spans="1:13" x14ac:dyDescent="0.35">
      <c r="A130" t="s">
        <v>144</v>
      </c>
      <c r="B130" t="s">
        <v>36</v>
      </c>
      <c r="C130" t="s">
        <v>157</v>
      </c>
      <c r="D130" t="s">
        <v>146</v>
      </c>
      <c r="E130" t="s">
        <v>168</v>
      </c>
      <c r="F130" t="s">
        <v>16</v>
      </c>
      <c r="G130" t="s">
        <v>17</v>
      </c>
      <c r="H130" s="46">
        <v>1</v>
      </c>
      <c r="I130" s="46">
        <v>1</v>
      </c>
      <c r="J130" s="46">
        <v>0</v>
      </c>
      <c r="K130" s="46">
        <v>10</v>
      </c>
      <c r="L130" s="46">
        <v>10</v>
      </c>
      <c r="M130" s="48">
        <v>0.1</v>
      </c>
    </row>
    <row r="131" spans="1:13" x14ac:dyDescent="0.35">
      <c r="A131" t="s">
        <v>144</v>
      </c>
      <c r="B131" t="s">
        <v>36</v>
      </c>
      <c r="C131" t="s">
        <v>158</v>
      </c>
      <c r="D131" t="s">
        <v>146</v>
      </c>
      <c r="E131" t="s">
        <v>168</v>
      </c>
      <c r="F131" t="s">
        <v>16</v>
      </c>
      <c r="G131" t="s">
        <v>17</v>
      </c>
      <c r="H131" s="46">
        <v>1</v>
      </c>
      <c r="I131" s="46">
        <v>1</v>
      </c>
      <c r="J131" s="46">
        <v>0</v>
      </c>
      <c r="K131" s="46">
        <v>32</v>
      </c>
      <c r="L131" s="46">
        <v>32</v>
      </c>
      <c r="M131" s="48">
        <v>3.125E-2</v>
      </c>
    </row>
    <row r="132" spans="1:13" x14ac:dyDescent="0.35">
      <c r="A132" t="s">
        <v>144</v>
      </c>
      <c r="B132" t="s">
        <v>36</v>
      </c>
      <c r="C132" t="s">
        <v>152</v>
      </c>
      <c r="D132" t="s">
        <v>146</v>
      </c>
      <c r="E132" t="s">
        <v>169</v>
      </c>
      <c r="F132" t="s">
        <v>23</v>
      </c>
      <c r="G132" t="s">
        <v>18</v>
      </c>
      <c r="H132" s="46">
        <v>6</v>
      </c>
      <c r="I132" s="46">
        <v>6</v>
      </c>
      <c r="J132" s="46">
        <v>0</v>
      </c>
      <c r="K132" s="46">
        <v>71</v>
      </c>
      <c r="L132" s="46">
        <v>60</v>
      </c>
      <c r="M132" s="48">
        <v>0.1</v>
      </c>
    </row>
    <row r="133" spans="1:13" x14ac:dyDescent="0.35">
      <c r="A133" t="s">
        <v>144</v>
      </c>
      <c r="B133" t="s">
        <v>36</v>
      </c>
      <c r="C133" t="s">
        <v>148</v>
      </c>
      <c r="D133" t="s">
        <v>146</v>
      </c>
      <c r="E133" t="s">
        <v>169</v>
      </c>
      <c r="F133" t="s">
        <v>23</v>
      </c>
      <c r="G133" t="s">
        <v>18</v>
      </c>
      <c r="H133" s="46">
        <v>10</v>
      </c>
      <c r="I133" s="46">
        <v>10</v>
      </c>
      <c r="J133" s="46">
        <v>0</v>
      </c>
      <c r="K133" s="46">
        <v>187</v>
      </c>
      <c r="L133" s="46">
        <v>180</v>
      </c>
      <c r="M133" s="48">
        <v>5.5555555555555601E-2</v>
      </c>
    </row>
    <row r="134" spans="1:13" x14ac:dyDescent="0.35">
      <c r="A134" t="s">
        <v>144</v>
      </c>
      <c r="B134" t="s">
        <v>36</v>
      </c>
      <c r="C134" t="s">
        <v>145</v>
      </c>
      <c r="D134" t="s">
        <v>146</v>
      </c>
      <c r="E134" t="s">
        <v>170</v>
      </c>
      <c r="F134" t="s">
        <v>28</v>
      </c>
      <c r="G134" t="s">
        <v>29</v>
      </c>
      <c r="H134" s="46">
        <v>3</v>
      </c>
      <c r="I134" s="46">
        <v>3</v>
      </c>
      <c r="J134" s="46">
        <v>0</v>
      </c>
      <c r="K134" s="46">
        <v>25</v>
      </c>
      <c r="L134" s="46">
        <v>25</v>
      </c>
      <c r="M134" s="48">
        <v>0.12</v>
      </c>
    </row>
    <row r="135" spans="1:13" x14ac:dyDescent="0.35">
      <c r="A135" t="s">
        <v>144</v>
      </c>
      <c r="B135" t="s">
        <v>36</v>
      </c>
      <c r="C135" t="s">
        <v>150</v>
      </c>
      <c r="D135" t="s">
        <v>146</v>
      </c>
      <c r="E135" t="s">
        <v>170</v>
      </c>
      <c r="F135" t="s">
        <v>16</v>
      </c>
      <c r="G135" t="s">
        <v>17</v>
      </c>
      <c r="H135" s="46">
        <v>1</v>
      </c>
      <c r="I135" s="46">
        <v>1</v>
      </c>
      <c r="J135" s="46">
        <v>0</v>
      </c>
      <c r="K135" s="46">
        <v>15</v>
      </c>
      <c r="L135" s="46">
        <v>15</v>
      </c>
      <c r="M135" s="48">
        <v>6.6666666666666693E-2</v>
      </c>
    </row>
    <row r="136" spans="1:13" x14ac:dyDescent="0.35">
      <c r="A136" t="s">
        <v>144</v>
      </c>
      <c r="B136" t="s">
        <v>36</v>
      </c>
      <c r="C136" t="s">
        <v>151</v>
      </c>
      <c r="D136" t="s">
        <v>146</v>
      </c>
      <c r="E136" t="s">
        <v>170</v>
      </c>
      <c r="F136" t="s">
        <v>16</v>
      </c>
      <c r="G136" t="s">
        <v>17</v>
      </c>
      <c r="H136" s="46">
        <v>0</v>
      </c>
      <c r="I136" s="46">
        <v>0</v>
      </c>
      <c r="J136" s="46">
        <v>0</v>
      </c>
      <c r="K136" s="46">
        <v>12</v>
      </c>
      <c r="L136" s="46">
        <v>12</v>
      </c>
      <c r="M136" s="48">
        <v>0</v>
      </c>
    </row>
    <row r="137" spans="1:13" x14ac:dyDescent="0.35">
      <c r="A137" t="s">
        <v>144</v>
      </c>
      <c r="B137" t="s">
        <v>36</v>
      </c>
      <c r="C137" t="s">
        <v>152</v>
      </c>
      <c r="D137" t="s">
        <v>146</v>
      </c>
      <c r="E137" t="s">
        <v>170</v>
      </c>
      <c r="F137" t="s">
        <v>16</v>
      </c>
      <c r="G137" t="s">
        <v>17</v>
      </c>
      <c r="H137" s="46">
        <v>12</v>
      </c>
      <c r="I137" s="46">
        <v>12</v>
      </c>
      <c r="J137" s="46">
        <v>0</v>
      </c>
      <c r="K137" s="46">
        <v>69</v>
      </c>
      <c r="L137" s="46">
        <v>63</v>
      </c>
      <c r="M137" s="48">
        <v>0.19047619047618999</v>
      </c>
    </row>
    <row r="138" spans="1:13" x14ac:dyDescent="0.35">
      <c r="A138" t="s">
        <v>144</v>
      </c>
      <c r="B138" t="s">
        <v>36</v>
      </c>
      <c r="C138" t="s">
        <v>153</v>
      </c>
      <c r="D138" t="s">
        <v>146</v>
      </c>
      <c r="E138" t="s">
        <v>170</v>
      </c>
      <c r="F138" t="s">
        <v>16</v>
      </c>
      <c r="G138" t="s">
        <v>17</v>
      </c>
      <c r="H138" s="46">
        <v>0</v>
      </c>
      <c r="I138" s="46">
        <v>0</v>
      </c>
      <c r="J138" s="46">
        <v>0</v>
      </c>
      <c r="K138" s="46">
        <v>4</v>
      </c>
      <c r="L138" s="46">
        <v>4</v>
      </c>
      <c r="M138" s="48">
        <v>0</v>
      </c>
    </row>
    <row r="139" spans="1:13" x14ac:dyDescent="0.35">
      <c r="A139" t="s">
        <v>144</v>
      </c>
      <c r="B139" t="s">
        <v>36</v>
      </c>
      <c r="C139" t="s">
        <v>154</v>
      </c>
      <c r="D139" t="s">
        <v>146</v>
      </c>
      <c r="E139" t="s">
        <v>170</v>
      </c>
      <c r="F139" t="s">
        <v>16</v>
      </c>
      <c r="G139" t="s">
        <v>17</v>
      </c>
      <c r="H139" s="46">
        <v>1</v>
      </c>
      <c r="I139" s="46">
        <v>1</v>
      </c>
      <c r="J139" s="46">
        <v>0</v>
      </c>
      <c r="K139" s="46">
        <v>17</v>
      </c>
      <c r="L139" s="46">
        <v>17</v>
      </c>
      <c r="M139" s="48">
        <v>5.8823529411764698E-2</v>
      </c>
    </row>
    <row r="140" spans="1:13" x14ac:dyDescent="0.35">
      <c r="A140" t="s">
        <v>144</v>
      </c>
      <c r="B140" t="s">
        <v>36</v>
      </c>
      <c r="C140" t="s">
        <v>148</v>
      </c>
      <c r="D140" t="s">
        <v>146</v>
      </c>
      <c r="E140" t="s">
        <v>170</v>
      </c>
      <c r="F140" t="s">
        <v>16</v>
      </c>
      <c r="G140" t="s">
        <v>17</v>
      </c>
      <c r="H140" s="46">
        <v>7</v>
      </c>
      <c r="I140" s="46">
        <v>7</v>
      </c>
      <c r="J140" s="46">
        <v>0</v>
      </c>
      <c r="K140" s="46">
        <v>146</v>
      </c>
      <c r="L140" s="46">
        <v>135</v>
      </c>
      <c r="M140" s="48">
        <v>5.1851851851851899E-2</v>
      </c>
    </row>
    <row r="141" spans="1:13" x14ac:dyDescent="0.35">
      <c r="A141" t="s">
        <v>144</v>
      </c>
      <c r="B141" t="s">
        <v>36</v>
      </c>
      <c r="C141" t="s">
        <v>155</v>
      </c>
      <c r="D141" t="s">
        <v>146</v>
      </c>
      <c r="E141" t="s">
        <v>170</v>
      </c>
      <c r="F141" t="s">
        <v>16</v>
      </c>
      <c r="G141" t="s">
        <v>17</v>
      </c>
      <c r="H141" s="46">
        <v>1</v>
      </c>
      <c r="I141" s="46">
        <v>1</v>
      </c>
      <c r="J141" s="46">
        <v>0</v>
      </c>
      <c r="K141" s="46">
        <v>13</v>
      </c>
      <c r="L141" s="46">
        <v>13</v>
      </c>
      <c r="M141" s="48">
        <v>7.69230769230769E-2</v>
      </c>
    </row>
    <row r="142" spans="1:13" x14ac:dyDescent="0.35">
      <c r="A142" t="s">
        <v>144</v>
      </c>
      <c r="B142" t="s">
        <v>36</v>
      </c>
      <c r="C142" t="s">
        <v>156</v>
      </c>
      <c r="D142" t="s">
        <v>146</v>
      </c>
      <c r="E142" t="s">
        <v>170</v>
      </c>
      <c r="F142" t="s">
        <v>16</v>
      </c>
      <c r="G142" t="s">
        <v>17</v>
      </c>
      <c r="H142" s="46">
        <v>1</v>
      </c>
      <c r="I142" s="46">
        <v>1</v>
      </c>
      <c r="J142" s="46">
        <v>0</v>
      </c>
      <c r="K142" s="46">
        <v>12</v>
      </c>
      <c r="L142" s="46">
        <v>12</v>
      </c>
      <c r="M142" s="48">
        <v>8.3333333333333301E-2</v>
      </c>
    </row>
    <row r="143" spans="1:13" x14ac:dyDescent="0.35">
      <c r="A143" t="s">
        <v>144</v>
      </c>
      <c r="B143" t="s">
        <v>36</v>
      </c>
      <c r="C143" t="s">
        <v>157</v>
      </c>
      <c r="D143" t="s">
        <v>146</v>
      </c>
      <c r="E143" t="s">
        <v>170</v>
      </c>
      <c r="F143" t="s">
        <v>16</v>
      </c>
      <c r="G143" t="s">
        <v>17</v>
      </c>
      <c r="H143" s="46">
        <v>1</v>
      </c>
      <c r="I143" s="46">
        <v>1</v>
      </c>
      <c r="J143" s="46">
        <v>0</v>
      </c>
      <c r="K143" s="46">
        <v>17</v>
      </c>
      <c r="L143" s="46">
        <v>15</v>
      </c>
      <c r="M143" s="48">
        <v>6.6666666666666693E-2</v>
      </c>
    </row>
    <row r="144" spans="1:13" x14ac:dyDescent="0.35">
      <c r="A144" t="s">
        <v>144</v>
      </c>
      <c r="B144" t="s">
        <v>36</v>
      </c>
      <c r="C144" t="s">
        <v>158</v>
      </c>
      <c r="D144" t="s">
        <v>146</v>
      </c>
      <c r="E144" t="s">
        <v>170</v>
      </c>
      <c r="F144" t="s">
        <v>16</v>
      </c>
      <c r="G144" t="s">
        <v>17</v>
      </c>
      <c r="H144" s="46">
        <v>5</v>
      </c>
      <c r="I144" s="46">
        <v>5</v>
      </c>
      <c r="J144" s="46">
        <v>0</v>
      </c>
      <c r="K144" s="46">
        <v>28</v>
      </c>
      <c r="L144" s="46">
        <v>28</v>
      </c>
      <c r="M144" s="48">
        <v>0.17857142857142899</v>
      </c>
    </row>
    <row r="145" spans="1:13" x14ac:dyDescent="0.35">
      <c r="A145" t="s">
        <v>144</v>
      </c>
      <c r="B145" t="s">
        <v>36</v>
      </c>
      <c r="C145" t="s">
        <v>145</v>
      </c>
      <c r="D145" t="s">
        <v>146</v>
      </c>
      <c r="E145" t="s">
        <v>172</v>
      </c>
      <c r="F145" t="s">
        <v>16</v>
      </c>
      <c r="G145" t="s">
        <v>173</v>
      </c>
      <c r="H145" s="46">
        <v>5</v>
      </c>
      <c r="I145" s="46">
        <v>4</v>
      </c>
      <c r="J145" s="46">
        <v>0</v>
      </c>
      <c r="K145" s="46">
        <v>35</v>
      </c>
      <c r="L145" s="46">
        <v>34</v>
      </c>
      <c r="M145" s="48">
        <v>0.14705882352941199</v>
      </c>
    </row>
    <row r="146" spans="1:13" x14ac:dyDescent="0.35">
      <c r="A146" t="s">
        <v>144</v>
      </c>
      <c r="B146" t="s">
        <v>36</v>
      </c>
      <c r="C146" t="s">
        <v>158</v>
      </c>
      <c r="D146" t="s">
        <v>162</v>
      </c>
      <c r="E146" t="s">
        <v>171</v>
      </c>
      <c r="F146" t="s">
        <v>21</v>
      </c>
      <c r="G146" t="s">
        <v>164</v>
      </c>
      <c r="H146" s="46">
        <v>7</v>
      </c>
      <c r="I146" s="46">
        <v>7</v>
      </c>
      <c r="J146" s="46">
        <v>0</v>
      </c>
      <c r="K146" s="46">
        <v>48</v>
      </c>
      <c r="L146" s="46">
        <v>41</v>
      </c>
      <c r="M146" s="48">
        <v>0.17073170731707299</v>
      </c>
    </row>
    <row r="147" spans="1:13" x14ac:dyDescent="0.35">
      <c r="A147" t="s">
        <v>174</v>
      </c>
      <c r="B147" t="s">
        <v>13</v>
      </c>
      <c r="C147" t="s">
        <v>145</v>
      </c>
      <c r="D147" t="s">
        <v>162</v>
      </c>
      <c r="E147" t="s">
        <v>175</v>
      </c>
      <c r="F147" t="s">
        <v>18</v>
      </c>
      <c r="G147" t="s">
        <v>38</v>
      </c>
      <c r="H147" s="46">
        <v>4</v>
      </c>
      <c r="I147" s="46">
        <v>0</v>
      </c>
      <c r="J147" s="46">
        <v>0</v>
      </c>
      <c r="K147" s="46">
        <v>47</v>
      </c>
      <c r="L147" s="46">
        <v>38</v>
      </c>
      <c r="M147" s="48">
        <v>0.105263157894737</v>
      </c>
    </row>
    <row r="148" spans="1:13" x14ac:dyDescent="0.35">
      <c r="A148" t="s">
        <v>174</v>
      </c>
      <c r="B148" t="s">
        <v>13</v>
      </c>
      <c r="C148" t="s">
        <v>155</v>
      </c>
      <c r="D148" t="s">
        <v>146</v>
      </c>
      <c r="E148" t="s">
        <v>176</v>
      </c>
      <c r="F148" t="s">
        <v>16</v>
      </c>
      <c r="G148" t="s">
        <v>17</v>
      </c>
      <c r="H148" s="46">
        <v>2</v>
      </c>
      <c r="I148" s="46">
        <v>0</v>
      </c>
      <c r="J148" s="46">
        <v>1</v>
      </c>
      <c r="K148" s="46">
        <v>119</v>
      </c>
      <c r="L148" s="46">
        <v>118</v>
      </c>
      <c r="M148" s="48">
        <v>1.6949152542372899E-2</v>
      </c>
    </row>
    <row r="149" spans="1:13" x14ac:dyDescent="0.35">
      <c r="A149" t="s">
        <v>174</v>
      </c>
      <c r="B149" t="s">
        <v>13</v>
      </c>
      <c r="C149" t="s">
        <v>148</v>
      </c>
      <c r="D149" t="s">
        <v>146</v>
      </c>
      <c r="E149" t="s">
        <v>176</v>
      </c>
      <c r="F149" t="s">
        <v>16</v>
      </c>
      <c r="G149" t="s">
        <v>17</v>
      </c>
      <c r="H149" s="46">
        <v>8</v>
      </c>
      <c r="I149" s="46">
        <v>0</v>
      </c>
      <c r="J149" s="46">
        <v>3</v>
      </c>
      <c r="K149" s="46">
        <v>261</v>
      </c>
      <c r="L149" s="46">
        <v>255</v>
      </c>
      <c r="M149" s="48">
        <v>3.1372549019607801E-2</v>
      </c>
    </row>
    <row r="150" spans="1:13" x14ac:dyDescent="0.35">
      <c r="A150" t="s">
        <v>174</v>
      </c>
      <c r="B150" t="s">
        <v>13</v>
      </c>
      <c r="C150" t="s">
        <v>151</v>
      </c>
      <c r="D150" t="s">
        <v>146</v>
      </c>
      <c r="E150" t="s">
        <v>176</v>
      </c>
      <c r="F150" t="s">
        <v>16</v>
      </c>
      <c r="G150" t="s">
        <v>17</v>
      </c>
      <c r="H150" s="46">
        <v>55537</v>
      </c>
      <c r="I150" s="46">
        <v>2</v>
      </c>
      <c r="J150" s="46">
        <v>19</v>
      </c>
      <c r="K150" s="46">
        <v>533898</v>
      </c>
      <c r="L150" s="46">
        <v>526835</v>
      </c>
      <c r="M150" s="48">
        <v>0.105416306813329</v>
      </c>
    </row>
    <row r="151" spans="1:13" x14ac:dyDescent="0.35">
      <c r="A151" t="s">
        <v>174</v>
      </c>
      <c r="B151" t="s">
        <v>13</v>
      </c>
      <c r="C151" t="s">
        <v>158</v>
      </c>
      <c r="D151" t="s">
        <v>146</v>
      </c>
      <c r="E151" t="s">
        <v>176</v>
      </c>
      <c r="F151" t="s">
        <v>16</v>
      </c>
      <c r="G151" t="s">
        <v>17</v>
      </c>
      <c r="H151" s="46">
        <v>11</v>
      </c>
      <c r="I151" s="46">
        <v>0</v>
      </c>
      <c r="J151" s="46">
        <v>3</v>
      </c>
      <c r="K151" s="46">
        <v>1066</v>
      </c>
      <c r="L151" s="46">
        <v>1058</v>
      </c>
      <c r="M151" s="48">
        <v>1.0396975425330799E-2</v>
      </c>
    </row>
    <row r="152" spans="1:13" x14ac:dyDescent="0.35">
      <c r="A152" t="s">
        <v>174</v>
      </c>
      <c r="B152" t="s">
        <v>13</v>
      </c>
      <c r="C152" t="s">
        <v>152</v>
      </c>
      <c r="D152" t="s">
        <v>146</v>
      </c>
      <c r="E152" t="s">
        <v>176</v>
      </c>
      <c r="F152" t="s">
        <v>16</v>
      </c>
      <c r="G152" t="s">
        <v>17</v>
      </c>
      <c r="H152" s="46">
        <v>5367</v>
      </c>
      <c r="I152" s="46">
        <v>0</v>
      </c>
      <c r="J152" s="46">
        <v>54</v>
      </c>
      <c r="K152" s="46">
        <v>690710</v>
      </c>
      <c r="L152" s="46">
        <v>677694</v>
      </c>
      <c r="M152" s="48">
        <v>7.9195034927268104E-3</v>
      </c>
    </row>
    <row r="153" spans="1:13" x14ac:dyDescent="0.35">
      <c r="A153" t="s">
        <v>174</v>
      </c>
      <c r="B153" t="s">
        <v>13</v>
      </c>
      <c r="C153" t="s">
        <v>150</v>
      </c>
      <c r="D153" t="s">
        <v>146</v>
      </c>
      <c r="E153" t="s">
        <v>176</v>
      </c>
      <c r="F153" t="s">
        <v>16</v>
      </c>
      <c r="G153" t="s">
        <v>17</v>
      </c>
      <c r="H153" s="46">
        <v>0</v>
      </c>
      <c r="I153" s="46">
        <v>0</v>
      </c>
      <c r="J153" s="46">
        <v>0</v>
      </c>
      <c r="K153" s="46">
        <v>96</v>
      </c>
      <c r="L153" s="46">
        <v>94</v>
      </c>
      <c r="M153" s="48">
        <v>0</v>
      </c>
    </row>
    <row r="154" spans="1:13" x14ac:dyDescent="0.35">
      <c r="A154" t="s">
        <v>174</v>
      </c>
      <c r="B154" t="s">
        <v>13</v>
      </c>
      <c r="C154" t="s">
        <v>157</v>
      </c>
      <c r="D154" t="s">
        <v>146</v>
      </c>
      <c r="E154" t="s">
        <v>176</v>
      </c>
      <c r="F154" t="s">
        <v>16</v>
      </c>
      <c r="G154" t="s">
        <v>17</v>
      </c>
      <c r="H154" s="46">
        <v>5</v>
      </c>
      <c r="I154" s="46">
        <v>0</v>
      </c>
      <c r="J154" s="46">
        <v>0</v>
      </c>
      <c r="K154" s="46">
        <v>688</v>
      </c>
      <c r="L154" s="46">
        <v>634</v>
      </c>
      <c r="M154" s="48">
        <v>7.88643533123028E-3</v>
      </c>
    </row>
    <row r="155" spans="1:13" x14ac:dyDescent="0.35">
      <c r="A155" t="s">
        <v>174</v>
      </c>
      <c r="B155" t="s">
        <v>13</v>
      </c>
      <c r="C155" t="s">
        <v>154</v>
      </c>
      <c r="D155" t="s">
        <v>146</v>
      </c>
      <c r="E155" t="s">
        <v>176</v>
      </c>
      <c r="F155" t="s">
        <v>16</v>
      </c>
      <c r="G155" t="s">
        <v>17</v>
      </c>
      <c r="H155" s="46">
        <v>23984</v>
      </c>
      <c r="I155" s="46">
        <v>0</v>
      </c>
      <c r="J155" s="46">
        <v>3</v>
      </c>
      <c r="K155" s="46">
        <v>264871</v>
      </c>
      <c r="L155" s="46">
        <v>264871</v>
      </c>
      <c r="M155" s="48">
        <v>9.0549739307058896E-2</v>
      </c>
    </row>
    <row r="156" spans="1:13" x14ac:dyDescent="0.35">
      <c r="A156" t="s">
        <v>174</v>
      </c>
      <c r="B156" t="s">
        <v>13</v>
      </c>
      <c r="C156" t="s">
        <v>153</v>
      </c>
      <c r="D156" t="s">
        <v>146</v>
      </c>
      <c r="E156" t="s">
        <v>176</v>
      </c>
      <c r="F156" t="s">
        <v>16</v>
      </c>
      <c r="G156" t="s">
        <v>17</v>
      </c>
      <c r="H156" s="46">
        <v>109838</v>
      </c>
      <c r="I156" s="46">
        <v>0</v>
      </c>
      <c r="J156" s="46">
        <v>14</v>
      </c>
      <c r="K156" s="46">
        <v>555266</v>
      </c>
      <c r="L156" s="46">
        <v>555266</v>
      </c>
      <c r="M156" s="48">
        <v>0.19781149935346301</v>
      </c>
    </row>
    <row r="157" spans="1:13" x14ac:dyDescent="0.35">
      <c r="A157" t="s">
        <v>174</v>
      </c>
      <c r="B157" t="s">
        <v>13</v>
      </c>
      <c r="C157" t="s">
        <v>156</v>
      </c>
      <c r="D157" t="s">
        <v>146</v>
      </c>
      <c r="E157" t="s">
        <v>176</v>
      </c>
      <c r="F157" t="s">
        <v>16</v>
      </c>
      <c r="G157" t="s">
        <v>17</v>
      </c>
      <c r="H157" s="46">
        <v>6100</v>
      </c>
      <c r="I157" s="46">
        <v>0</v>
      </c>
      <c r="J157" s="46">
        <v>9</v>
      </c>
      <c r="K157" s="46">
        <v>141434</v>
      </c>
      <c r="L157" s="46">
        <v>141434</v>
      </c>
      <c r="M157" s="48">
        <v>4.3129657649504403E-2</v>
      </c>
    </row>
    <row r="158" spans="1:13" x14ac:dyDescent="0.35">
      <c r="A158" t="s">
        <v>174</v>
      </c>
      <c r="B158" t="s">
        <v>13</v>
      </c>
      <c r="C158" t="s">
        <v>149</v>
      </c>
      <c r="D158" t="s">
        <v>146</v>
      </c>
      <c r="E158" t="s">
        <v>176</v>
      </c>
      <c r="F158" t="s">
        <v>16</v>
      </c>
      <c r="G158" t="s">
        <v>17</v>
      </c>
      <c r="H158" s="46">
        <v>0</v>
      </c>
      <c r="I158" s="46">
        <v>0</v>
      </c>
      <c r="J158" s="46">
        <v>0</v>
      </c>
      <c r="K158" s="46">
        <v>213</v>
      </c>
      <c r="L158" s="46">
        <v>206</v>
      </c>
      <c r="M158" s="48">
        <v>0</v>
      </c>
    </row>
    <row r="159" spans="1:13" x14ac:dyDescent="0.35">
      <c r="A159" t="s">
        <v>174</v>
      </c>
      <c r="B159" t="s">
        <v>13</v>
      </c>
      <c r="C159" t="s">
        <v>156</v>
      </c>
      <c r="D159" t="s">
        <v>146</v>
      </c>
      <c r="E159" t="s">
        <v>177</v>
      </c>
      <c r="F159" t="s">
        <v>19</v>
      </c>
      <c r="G159" t="s">
        <v>18</v>
      </c>
      <c r="H159" s="46">
        <v>8</v>
      </c>
      <c r="I159" s="46">
        <v>0</v>
      </c>
      <c r="J159" s="46">
        <v>2</v>
      </c>
      <c r="K159" s="46">
        <v>61</v>
      </c>
      <c r="L159" s="46">
        <v>53</v>
      </c>
      <c r="M159" s="48">
        <v>0.15094339622641501</v>
      </c>
    </row>
    <row r="160" spans="1:13" x14ac:dyDescent="0.35">
      <c r="A160" t="s">
        <v>174</v>
      </c>
      <c r="B160" t="s">
        <v>13</v>
      </c>
      <c r="C160" t="s">
        <v>151</v>
      </c>
      <c r="D160" t="s">
        <v>146</v>
      </c>
      <c r="E160" t="s">
        <v>177</v>
      </c>
      <c r="F160" t="s">
        <v>19</v>
      </c>
      <c r="G160" t="s">
        <v>18</v>
      </c>
      <c r="H160" s="46">
        <v>3</v>
      </c>
      <c r="I160" s="46">
        <v>0</v>
      </c>
      <c r="J160" s="46">
        <v>0</v>
      </c>
      <c r="K160" s="46">
        <v>63</v>
      </c>
      <c r="L160" s="46">
        <v>60</v>
      </c>
      <c r="M160" s="48">
        <v>0.05</v>
      </c>
    </row>
    <row r="161" spans="1:13" x14ac:dyDescent="0.35">
      <c r="A161" t="s">
        <v>174</v>
      </c>
      <c r="B161" t="s">
        <v>13</v>
      </c>
      <c r="C161" t="s">
        <v>148</v>
      </c>
      <c r="D161" t="s">
        <v>146</v>
      </c>
      <c r="E161" t="s">
        <v>177</v>
      </c>
      <c r="F161" t="s">
        <v>19</v>
      </c>
      <c r="G161" t="s">
        <v>18</v>
      </c>
      <c r="H161" s="46">
        <v>7</v>
      </c>
      <c r="I161" s="46">
        <v>0</v>
      </c>
      <c r="J161" s="46">
        <v>2</v>
      </c>
      <c r="K161" s="46">
        <v>396</v>
      </c>
      <c r="L161" s="46">
        <v>392</v>
      </c>
      <c r="M161" s="48">
        <v>1.7857142857142901E-2</v>
      </c>
    </row>
    <row r="162" spans="1:13" x14ac:dyDescent="0.35">
      <c r="A162" t="s">
        <v>174</v>
      </c>
      <c r="B162" t="s">
        <v>13</v>
      </c>
      <c r="C162" t="s">
        <v>153</v>
      </c>
      <c r="D162" t="s">
        <v>146</v>
      </c>
      <c r="E162" t="s">
        <v>177</v>
      </c>
      <c r="F162" t="s">
        <v>19</v>
      </c>
      <c r="G162" t="s">
        <v>18</v>
      </c>
      <c r="H162" s="46">
        <v>1</v>
      </c>
      <c r="I162" s="46">
        <v>0</v>
      </c>
      <c r="J162" s="46">
        <v>0</v>
      </c>
      <c r="K162" s="46">
        <v>68</v>
      </c>
      <c r="L162" s="46">
        <v>66</v>
      </c>
      <c r="M162" s="48">
        <v>1.5151515151515201E-2</v>
      </c>
    </row>
    <row r="163" spans="1:13" x14ac:dyDescent="0.35">
      <c r="A163" t="s">
        <v>174</v>
      </c>
      <c r="B163" t="s">
        <v>13</v>
      </c>
      <c r="C163" t="s">
        <v>158</v>
      </c>
      <c r="D163" t="s">
        <v>146</v>
      </c>
      <c r="E163" t="s">
        <v>177</v>
      </c>
      <c r="F163" t="s">
        <v>19</v>
      </c>
      <c r="G163" t="s">
        <v>18</v>
      </c>
      <c r="H163" s="46">
        <v>6</v>
      </c>
      <c r="I163" s="46">
        <v>0</v>
      </c>
      <c r="J163" s="46">
        <v>3</v>
      </c>
      <c r="K163" s="46">
        <v>1280</v>
      </c>
      <c r="L163" s="46">
        <v>1267</v>
      </c>
      <c r="M163" s="48">
        <v>4.7355958958168898E-3</v>
      </c>
    </row>
    <row r="164" spans="1:13" x14ac:dyDescent="0.35">
      <c r="A164" t="s">
        <v>174</v>
      </c>
      <c r="B164" t="s">
        <v>13</v>
      </c>
      <c r="C164" t="s">
        <v>152</v>
      </c>
      <c r="D164" t="s">
        <v>146</v>
      </c>
      <c r="E164" t="s">
        <v>177</v>
      </c>
      <c r="F164" t="s">
        <v>19</v>
      </c>
      <c r="G164" t="s">
        <v>18</v>
      </c>
      <c r="H164" s="46">
        <v>10</v>
      </c>
      <c r="I164" s="46">
        <v>0</v>
      </c>
      <c r="J164" s="46">
        <v>6</v>
      </c>
      <c r="K164" s="46">
        <v>38</v>
      </c>
      <c r="L164" s="46">
        <v>38</v>
      </c>
      <c r="M164" s="48">
        <v>0.26315789473684198</v>
      </c>
    </row>
    <row r="165" spans="1:13" x14ac:dyDescent="0.35">
      <c r="A165" t="s">
        <v>174</v>
      </c>
      <c r="B165" t="s">
        <v>13</v>
      </c>
      <c r="C165" t="s">
        <v>149</v>
      </c>
      <c r="D165" t="s">
        <v>146</v>
      </c>
      <c r="E165" t="s">
        <v>177</v>
      </c>
      <c r="F165" t="s">
        <v>19</v>
      </c>
      <c r="G165" t="s">
        <v>18</v>
      </c>
      <c r="H165" s="46">
        <v>0</v>
      </c>
      <c r="I165" s="46">
        <v>0</v>
      </c>
      <c r="J165" s="46">
        <v>0</v>
      </c>
      <c r="K165" s="46">
        <v>220</v>
      </c>
      <c r="L165" s="46">
        <v>213</v>
      </c>
      <c r="M165" s="48">
        <v>0</v>
      </c>
    </row>
    <row r="166" spans="1:13" x14ac:dyDescent="0.35">
      <c r="A166" t="s">
        <v>174</v>
      </c>
      <c r="B166" t="s">
        <v>13</v>
      </c>
      <c r="C166" t="s">
        <v>150</v>
      </c>
      <c r="D166" t="s">
        <v>146</v>
      </c>
      <c r="E166" t="s">
        <v>177</v>
      </c>
      <c r="F166" t="s">
        <v>19</v>
      </c>
      <c r="G166" t="s">
        <v>18</v>
      </c>
      <c r="H166" s="46">
        <v>0</v>
      </c>
      <c r="I166" s="46">
        <v>0</v>
      </c>
      <c r="J166" s="46">
        <v>0</v>
      </c>
      <c r="K166" s="46">
        <v>89</v>
      </c>
      <c r="L166" s="46">
        <v>86</v>
      </c>
      <c r="M166" s="48">
        <v>0</v>
      </c>
    </row>
    <row r="167" spans="1:13" x14ac:dyDescent="0.35">
      <c r="A167" t="s">
        <v>174</v>
      </c>
      <c r="B167" t="s">
        <v>13</v>
      </c>
      <c r="C167" t="s">
        <v>157</v>
      </c>
      <c r="D167" t="s">
        <v>146</v>
      </c>
      <c r="E167" t="s">
        <v>177</v>
      </c>
      <c r="F167" t="s">
        <v>19</v>
      </c>
      <c r="G167" t="s">
        <v>18</v>
      </c>
      <c r="H167" s="46">
        <v>4</v>
      </c>
      <c r="I167" s="46">
        <v>0</v>
      </c>
      <c r="J167" s="46">
        <v>0</v>
      </c>
      <c r="K167" s="46">
        <v>766</v>
      </c>
      <c r="L167" s="46">
        <v>728</v>
      </c>
      <c r="M167" s="48">
        <v>5.4945054945054897E-3</v>
      </c>
    </row>
    <row r="168" spans="1:13" x14ac:dyDescent="0.35">
      <c r="A168" t="s">
        <v>174</v>
      </c>
      <c r="B168" t="s">
        <v>13</v>
      </c>
      <c r="C168" t="s">
        <v>155</v>
      </c>
      <c r="D168" t="s">
        <v>146</v>
      </c>
      <c r="E168" t="s">
        <v>177</v>
      </c>
      <c r="F168" t="s">
        <v>19</v>
      </c>
      <c r="G168" t="s">
        <v>18</v>
      </c>
      <c r="H168" s="46">
        <v>2</v>
      </c>
      <c r="I168" s="46">
        <v>0</v>
      </c>
      <c r="J168" s="46">
        <v>1</v>
      </c>
      <c r="K168" s="46">
        <v>138</v>
      </c>
      <c r="L168" s="46">
        <v>137</v>
      </c>
      <c r="M168" s="48">
        <v>1.4598540145985399E-2</v>
      </c>
    </row>
    <row r="169" spans="1:13" x14ac:dyDescent="0.35">
      <c r="A169" t="s">
        <v>174</v>
      </c>
      <c r="B169" t="s">
        <v>13</v>
      </c>
      <c r="C169" t="s">
        <v>154</v>
      </c>
      <c r="D169" t="s">
        <v>146</v>
      </c>
      <c r="E169" t="s">
        <v>177</v>
      </c>
      <c r="F169" t="s">
        <v>19</v>
      </c>
      <c r="G169" t="s">
        <v>18</v>
      </c>
      <c r="H169" s="46">
        <v>0</v>
      </c>
      <c r="I169" s="46">
        <v>0</v>
      </c>
      <c r="J169" s="46">
        <v>0</v>
      </c>
      <c r="K169" s="46">
        <v>46</v>
      </c>
      <c r="L169" s="46">
        <v>44</v>
      </c>
      <c r="M169" s="48">
        <v>0</v>
      </c>
    </row>
    <row r="170" spans="1:13" x14ac:dyDescent="0.35">
      <c r="A170" t="s">
        <v>174</v>
      </c>
      <c r="B170" t="s">
        <v>13</v>
      </c>
      <c r="C170" t="s">
        <v>145</v>
      </c>
      <c r="D170" t="s">
        <v>162</v>
      </c>
      <c r="E170" t="s">
        <v>177</v>
      </c>
      <c r="F170" t="s">
        <v>28</v>
      </c>
      <c r="G170" t="s">
        <v>29</v>
      </c>
      <c r="H170" s="46">
        <v>2</v>
      </c>
      <c r="I170" s="46">
        <v>0</v>
      </c>
      <c r="J170" s="46">
        <v>0</v>
      </c>
      <c r="K170" s="46">
        <v>26</v>
      </c>
      <c r="L170" s="46">
        <v>23</v>
      </c>
      <c r="M170" s="48">
        <v>8.6956521739130405E-2</v>
      </c>
    </row>
    <row r="171" spans="1:13" x14ac:dyDescent="0.35">
      <c r="A171" t="s">
        <v>174</v>
      </c>
      <c r="B171" t="s">
        <v>13</v>
      </c>
      <c r="C171" t="s">
        <v>145</v>
      </c>
      <c r="D171" t="s">
        <v>146</v>
      </c>
      <c r="E171" t="s">
        <v>178</v>
      </c>
      <c r="F171" t="s">
        <v>28</v>
      </c>
      <c r="G171" t="s">
        <v>29</v>
      </c>
      <c r="H171" s="46">
        <v>2</v>
      </c>
      <c r="I171" s="46">
        <v>0</v>
      </c>
      <c r="J171" s="46">
        <v>0</v>
      </c>
      <c r="K171" s="46">
        <v>16</v>
      </c>
      <c r="L171" s="46">
        <v>10</v>
      </c>
      <c r="M171" s="48">
        <v>0.2</v>
      </c>
    </row>
    <row r="172" spans="1:13" x14ac:dyDescent="0.35">
      <c r="A172" t="s">
        <v>174</v>
      </c>
      <c r="B172" t="s">
        <v>13</v>
      </c>
      <c r="C172" t="s">
        <v>158</v>
      </c>
      <c r="D172" t="s">
        <v>146</v>
      </c>
      <c r="E172" t="s">
        <v>178</v>
      </c>
      <c r="F172" t="s">
        <v>16</v>
      </c>
      <c r="G172" t="s">
        <v>20</v>
      </c>
      <c r="H172" s="46">
        <v>9</v>
      </c>
      <c r="I172" s="46">
        <v>0</v>
      </c>
      <c r="J172" s="46">
        <v>1</v>
      </c>
      <c r="K172" s="46">
        <v>1122</v>
      </c>
      <c r="L172" s="46">
        <v>1122</v>
      </c>
      <c r="M172" s="48">
        <v>8.0213903743315499E-3</v>
      </c>
    </row>
    <row r="173" spans="1:13" x14ac:dyDescent="0.35">
      <c r="A173" t="s">
        <v>174</v>
      </c>
      <c r="B173" t="s">
        <v>13</v>
      </c>
      <c r="C173" t="s">
        <v>157</v>
      </c>
      <c r="D173" t="s">
        <v>146</v>
      </c>
      <c r="E173" t="s">
        <v>178</v>
      </c>
      <c r="F173" t="s">
        <v>16</v>
      </c>
      <c r="G173" t="s">
        <v>20</v>
      </c>
      <c r="H173" s="46">
        <v>5</v>
      </c>
      <c r="I173" s="46">
        <v>0</v>
      </c>
      <c r="J173" s="46">
        <v>0</v>
      </c>
      <c r="K173" s="46">
        <v>884</v>
      </c>
      <c r="L173" s="46">
        <v>855</v>
      </c>
      <c r="M173" s="48">
        <v>5.8479532163742704E-3</v>
      </c>
    </row>
    <row r="174" spans="1:13" x14ac:dyDescent="0.35">
      <c r="A174" t="s">
        <v>174</v>
      </c>
      <c r="B174" t="s">
        <v>13</v>
      </c>
      <c r="C174" t="s">
        <v>156</v>
      </c>
      <c r="D174" t="s">
        <v>146</v>
      </c>
      <c r="E174" t="s">
        <v>178</v>
      </c>
      <c r="F174" t="s">
        <v>16</v>
      </c>
      <c r="G174" t="s">
        <v>20</v>
      </c>
      <c r="H174" s="46">
        <v>7</v>
      </c>
      <c r="I174" s="46">
        <v>2</v>
      </c>
      <c r="J174" s="46">
        <v>2</v>
      </c>
      <c r="K174" s="46">
        <v>49</v>
      </c>
      <c r="L174" s="46">
        <v>46</v>
      </c>
      <c r="M174" s="48">
        <v>0.15217391304347799</v>
      </c>
    </row>
    <row r="175" spans="1:13" x14ac:dyDescent="0.35">
      <c r="A175" t="s">
        <v>174</v>
      </c>
      <c r="B175" t="s">
        <v>13</v>
      </c>
      <c r="C175" t="s">
        <v>155</v>
      </c>
      <c r="D175" t="s">
        <v>146</v>
      </c>
      <c r="E175" t="s">
        <v>178</v>
      </c>
      <c r="F175" t="s">
        <v>16</v>
      </c>
      <c r="G175" t="s">
        <v>20</v>
      </c>
      <c r="H175" s="46">
        <v>5</v>
      </c>
      <c r="I175" s="46">
        <v>0</v>
      </c>
      <c r="J175" s="46">
        <v>2</v>
      </c>
      <c r="K175" s="46">
        <v>129</v>
      </c>
      <c r="L175" s="46">
        <v>128</v>
      </c>
      <c r="M175" s="48">
        <v>3.90625E-2</v>
      </c>
    </row>
    <row r="176" spans="1:13" x14ac:dyDescent="0.35">
      <c r="A176" t="s">
        <v>174</v>
      </c>
      <c r="B176" t="s">
        <v>13</v>
      </c>
      <c r="C176" t="s">
        <v>148</v>
      </c>
      <c r="D176" t="s">
        <v>146</v>
      </c>
      <c r="E176" t="s">
        <v>178</v>
      </c>
      <c r="F176" t="s">
        <v>16</v>
      </c>
      <c r="G176" t="s">
        <v>20</v>
      </c>
      <c r="H176" s="46">
        <v>5</v>
      </c>
      <c r="I176" s="46">
        <v>0</v>
      </c>
      <c r="J176" s="46">
        <v>2</v>
      </c>
      <c r="K176" s="46">
        <v>260</v>
      </c>
      <c r="L176" s="46">
        <v>258</v>
      </c>
      <c r="M176" s="48">
        <v>1.9379844961240299E-2</v>
      </c>
    </row>
    <row r="177" spans="1:13" x14ac:dyDescent="0.35">
      <c r="A177" t="s">
        <v>174</v>
      </c>
      <c r="B177" t="s">
        <v>13</v>
      </c>
      <c r="C177" t="s">
        <v>154</v>
      </c>
      <c r="D177" t="s">
        <v>146</v>
      </c>
      <c r="E177" t="s">
        <v>178</v>
      </c>
      <c r="F177" t="s">
        <v>16</v>
      </c>
      <c r="G177" t="s">
        <v>20</v>
      </c>
      <c r="H177" s="46">
        <v>1</v>
      </c>
      <c r="I177" s="46">
        <v>0</v>
      </c>
      <c r="J177" s="46">
        <v>0</v>
      </c>
      <c r="K177" s="46">
        <v>23</v>
      </c>
      <c r="L177" s="46">
        <v>21</v>
      </c>
      <c r="M177" s="48">
        <v>4.7619047619047603E-2</v>
      </c>
    </row>
    <row r="178" spans="1:13" x14ac:dyDescent="0.35">
      <c r="A178" t="s">
        <v>174</v>
      </c>
      <c r="B178" t="s">
        <v>13</v>
      </c>
      <c r="C178" t="s">
        <v>153</v>
      </c>
      <c r="D178" t="s">
        <v>146</v>
      </c>
      <c r="E178" t="s">
        <v>178</v>
      </c>
      <c r="F178" t="s">
        <v>16</v>
      </c>
      <c r="G178" t="s">
        <v>20</v>
      </c>
      <c r="H178" s="46">
        <v>1</v>
      </c>
      <c r="I178" s="46">
        <v>0</v>
      </c>
      <c r="J178" s="46">
        <v>0</v>
      </c>
      <c r="K178" s="46">
        <v>34</v>
      </c>
      <c r="L178" s="46">
        <v>34</v>
      </c>
      <c r="M178" s="48">
        <v>2.9411764705882401E-2</v>
      </c>
    </row>
    <row r="179" spans="1:13" x14ac:dyDescent="0.35">
      <c r="A179" t="s">
        <v>174</v>
      </c>
      <c r="B179" t="s">
        <v>13</v>
      </c>
      <c r="C179" t="s">
        <v>152</v>
      </c>
      <c r="D179" t="s">
        <v>146</v>
      </c>
      <c r="E179" t="s">
        <v>178</v>
      </c>
      <c r="F179" t="s">
        <v>16</v>
      </c>
      <c r="G179" t="s">
        <v>20</v>
      </c>
      <c r="H179" s="46">
        <v>9</v>
      </c>
      <c r="I179" s="46">
        <v>0</v>
      </c>
      <c r="J179" s="46">
        <v>5</v>
      </c>
      <c r="K179" s="46">
        <v>31</v>
      </c>
      <c r="L179" s="46">
        <v>28</v>
      </c>
      <c r="M179" s="48">
        <v>0.32142857142857101</v>
      </c>
    </row>
    <row r="180" spans="1:13" x14ac:dyDescent="0.35">
      <c r="A180" t="s">
        <v>174</v>
      </c>
      <c r="B180" t="s">
        <v>13</v>
      </c>
      <c r="C180" t="s">
        <v>151</v>
      </c>
      <c r="D180" t="s">
        <v>146</v>
      </c>
      <c r="E180" t="s">
        <v>178</v>
      </c>
      <c r="F180" t="s">
        <v>16</v>
      </c>
      <c r="G180" t="s">
        <v>20</v>
      </c>
      <c r="H180" s="46">
        <v>3</v>
      </c>
      <c r="I180" s="46">
        <v>0</v>
      </c>
      <c r="J180" s="46">
        <v>1</v>
      </c>
      <c r="K180" s="46">
        <v>41</v>
      </c>
      <c r="L180" s="46">
        <v>39</v>
      </c>
      <c r="M180" s="48">
        <v>7.69230769230769E-2</v>
      </c>
    </row>
    <row r="181" spans="1:13" x14ac:dyDescent="0.35">
      <c r="A181" t="s">
        <v>174</v>
      </c>
      <c r="B181" t="s">
        <v>13</v>
      </c>
      <c r="C181" t="s">
        <v>150</v>
      </c>
      <c r="D181" t="s">
        <v>146</v>
      </c>
      <c r="E181" t="s">
        <v>178</v>
      </c>
      <c r="F181" t="s">
        <v>16</v>
      </c>
      <c r="G181" t="s">
        <v>20</v>
      </c>
      <c r="H181" s="46">
        <v>0</v>
      </c>
      <c r="I181" s="46">
        <v>0</v>
      </c>
      <c r="J181" s="46">
        <v>0</v>
      </c>
      <c r="K181" s="46">
        <v>107</v>
      </c>
      <c r="L181" s="46">
        <v>104</v>
      </c>
      <c r="M181" s="48">
        <v>0</v>
      </c>
    </row>
    <row r="182" spans="1:13" x14ac:dyDescent="0.35">
      <c r="A182" t="s">
        <v>174</v>
      </c>
      <c r="B182" t="s">
        <v>13</v>
      </c>
      <c r="C182" t="s">
        <v>149</v>
      </c>
      <c r="D182" t="s">
        <v>146</v>
      </c>
      <c r="E182" t="s">
        <v>178</v>
      </c>
      <c r="F182" t="s">
        <v>16</v>
      </c>
      <c r="G182" t="s">
        <v>20</v>
      </c>
      <c r="H182" s="46">
        <v>1</v>
      </c>
      <c r="I182" s="46">
        <v>0</v>
      </c>
      <c r="J182" s="46">
        <v>0</v>
      </c>
      <c r="K182" s="46">
        <v>236</v>
      </c>
      <c r="L182" s="46">
        <v>230</v>
      </c>
      <c r="M182" s="48">
        <v>4.3478260869565201E-3</v>
      </c>
    </row>
    <row r="183" spans="1:13" x14ac:dyDescent="0.35">
      <c r="A183" t="s">
        <v>174</v>
      </c>
      <c r="B183" t="s">
        <v>13</v>
      </c>
      <c r="C183" t="s">
        <v>158</v>
      </c>
      <c r="D183" t="s">
        <v>146</v>
      </c>
      <c r="E183" t="s">
        <v>179</v>
      </c>
      <c r="F183" t="s">
        <v>16</v>
      </c>
      <c r="G183" t="s">
        <v>17</v>
      </c>
      <c r="H183" s="46">
        <v>12</v>
      </c>
      <c r="I183" s="46">
        <v>0</v>
      </c>
      <c r="J183" s="46">
        <v>4</v>
      </c>
      <c r="K183" s="46">
        <v>1046</v>
      </c>
      <c r="L183" s="46">
        <v>1026</v>
      </c>
      <c r="M183" s="48">
        <v>1.1695906432748499E-2</v>
      </c>
    </row>
    <row r="184" spans="1:13" x14ac:dyDescent="0.35">
      <c r="A184" t="s">
        <v>174</v>
      </c>
      <c r="B184" t="s">
        <v>13</v>
      </c>
      <c r="C184" t="s">
        <v>157</v>
      </c>
      <c r="D184" t="s">
        <v>146</v>
      </c>
      <c r="E184" t="s">
        <v>179</v>
      </c>
      <c r="F184" t="s">
        <v>16</v>
      </c>
      <c r="G184" t="s">
        <v>17</v>
      </c>
      <c r="H184" s="46">
        <v>3</v>
      </c>
      <c r="I184" s="46">
        <v>0</v>
      </c>
      <c r="J184" s="46">
        <v>0</v>
      </c>
      <c r="K184" s="46">
        <v>566</v>
      </c>
      <c r="L184" s="46">
        <v>550</v>
      </c>
      <c r="M184" s="48">
        <v>5.4545454545454498E-3</v>
      </c>
    </row>
    <row r="185" spans="1:13" x14ac:dyDescent="0.35">
      <c r="A185" t="s">
        <v>174</v>
      </c>
      <c r="B185" t="s">
        <v>13</v>
      </c>
      <c r="C185" t="s">
        <v>156</v>
      </c>
      <c r="D185" t="s">
        <v>146</v>
      </c>
      <c r="E185" t="s">
        <v>179</v>
      </c>
      <c r="F185" t="s">
        <v>16</v>
      </c>
      <c r="G185" t="s">
        <v>17</v>
      </c>
      <c r="H185" s="46">
        <v>4</v>
      </c>
      <c r="I185" s="46">
        <v>0</v>
      </c>
      <c r="J185" s="46">
        <v>2</v>
      </c>
      <c r="K185" s="46">
        <v>52</v>
      </c>
      <c r="L185" s="46">
        <v>50</v>
      </c>
      <c r="M185" s="48">
        <v>0.08</v>
      </c>
    </row>
    <row r="186" spans="1:13" x14ac:dyDescent="0.35">
      <c r="A186" t="s">
        <v>174</v>
      </c>
      <c r="B186" t="s">
        <v>13</v>
      </c>
      <c r="C186" t="s">
        <v>155</v>
      </c>
      <c r="D186" t="s">
        <v>146</v>
      </c>
      <c r="E186" t="s">
        <v>179</v>
      </c>
      <c r="F186" t="s">
        <v>16</v>
      </c>
      <c r="G186" t="s">
        <v>17</v>
      </c>
      <c r="H186" s="46">
        <v>0</v>
      </c>
      <c r="I186" s="46">
        <v>0</v>
      </c>
      <c r="J186" s="46">
        <v>0</v>
      </c>
      <c r="K186" s="46">
        <v>95</v>
      </c>
      <c r="L186" s="46">
        <v>95</v>
      </c>
      <c r="M186" s="48">
        <v>0</v>
      </c>
    </row>
    <row r="187" spans="1:13" x14ac:dyDescent="0.35">
      <c r="A187" t="s">
        <v>174</v>
      </c>
      <c r="B187" t="s">
        <v>13</v>
      </c>
      <c r="C187" t="s">
        <v>148</v>
      </c>
      <c r="D187" t="s">
        <v>146</v>
      </c>
      <c r="E187" t="s">
        <v>179</v>
      </c>
      <c r="F187" t="s">
        <v>16</v>
      </c>
      <c r="G187" t="s">
        <v>17</v>
      </c>
      <c r="H187" s="46">
        <v>6</v>
      </c>
      <c r="I187" s="46">
        <v>0</v>
      </c>
      <c r="J187" s="46">
        <v>3</v>
      </c>
      <c r="K187" s="46">
        <v>228</v>
      </c>
      <c r="L187" s="46">
        <v>221</v>
      </c>
      <c r="M187" s="48">
        <v>2.7149321266968299E-2</v>
      </c>
    </row>
    <row r="188" spans="1:13" x14ac:dyDescent="0.35">
      <c r="A188" t="s">
        <v>174</v>
      </c>
      <c r="B188" t="s">
        <v>13</v>
      </c>
      <c r="C188" t="s">
        <v>154</v>
      </c>
      <c r="D188" t="s">
        <v>146</v>
      </c>
      <c r="E188" t="s">
        <v>179</v>
      </c>
      <c r="F188" t="s">
        <v>16</v>
      </c>
      <c r="G188" t="s">
        <v>17</v>
      </c>
      <c r="H188" s="46">
        <v>0</v>
      </c>
      <c r="I188" s="46">
        <v>0</v>
      </c>
      <c r="J188" s="46">
        <v>0</v>
      </c>
      <c r="K188" s="46">
        <v>18</v>
      </c>
      <c r="L188" s="46">
        <v>17</v>
      </c>
      <c r="M188" s="48">
        <v>0</v>
      </c>
    </row>
    <row r="189" spans="1:13" x14ac:dyDescent="0.35">
      <c r="A189" t="s">
        <v>174</v>
      </c>
      <c r="B189" t="s">
        <v>13</v>
      </c>
      <c r="C189" t="s">
        <v>153</v>
      </c>
      <c r="D189" t="s">
        <v>146</v>
      </c>
      <c r="E189" t="s">
        <v>179</v>
      </c>
      <c r="F189" t="s">
        <v>16</v>
      </c>
      <c r="G189" t="s">
        <v>17</v>
      </c>
      <c r="H189" s="46">
        <v>1</v>
      </c>
      <c r="I189" s="46">
        <v>0</v>
      </c>
      <c r="J189" s="46">
        <v>0</v>
      </c>
      <c r="K189" s="46">
        <v>18</v>
      </c>
      <c r="L189" s="46">
        <v>18</v>
      </c>
      <c r="M189" s="48">
        <v>5.5555555555555601E-2</v>
      </c>
    </row>
    <row r="190" spans="1:13" x14ac:dyDescent="0.35">
      <c r="A190" t="s">
        <v>174</v>
      </c>
      <c r="B190" t="s">
        <v>13</v>
      </c>
      <c r="C190" t="s">
        <v>152</v>
      </c>
      <c r="D190" t="s">
        <v>146</v>
      </c>
      <c r="E190" t="s">
        <v>179</v>
      </c>
      <c r="F190" t="s">
        <v>16</v>
      </c>
      <c r="G190" t="s">
        <v>17</v>
      </c>
      <c r="H190" s="46">
        <v>6</v>
      </c>
      <c r="I190" s="46">
        <v>0</v>
      </c>
      <c r="J190" s="46">
        <v>4</v>
      </c>
      <c r="K190" s="46">
        <v>23</v>
      </c>
      <c r="L190" s="46">
        <v>20</v>
      </c>
      <c r="M190" s="48">
        <v>0.3</v>
      </c>
    </row>
    <row r="191" spans="1:13" x14ac:dyDescent="0.35">
      <c r="A191" t="s">
        <v>174</v>
      </c>
      <c r="B191" t="s">
        <v>13</v>
      </c>
      <c r="C191" t="s">
        <v>151</v>
      </c>
      <c r="D191" t="s">
        <v>146</v>
      </c>
      <c r="E191" t="s">
        <v>179</v>
      </c>
      <c r="F191" t="s">
        <v>16</v>
      </c>
      <c r="G191" t="s">
        <v>17</v>
      </c>
      <c r="H191" s="46">
        <v>1</v>
      </c>
      <c r="I191" s="46">
        <v>0</v>
      </c>
      <c r="J191" s="46">
        <v>0</v>
      </c>
      <c r="K191" s="46">
        <v>52</v>
      </c>
      <c r="L191" s="46">
        <v>50</v>
      </c>
      <c r="M191" s="48">
        <v>0.02</v>
      </c>
    </row>
    <row r="192" spans="1:13" x14ac:dyDescent="0.35">
      <c r="A192" t="s">
        <v>174</v>
      </c>
      <c r="B192" t="s">
        <v>13</v>
      </c>
      <c r="C192" t="s">
        <v>150</v>
      </c>
      <c r="D192" t="s">
        <v>146</v>
      </c>
      <c r="E192" t="s">
        <v>179</v>
      </c>
      <c r="F192" t="s">
        <v>16</v>
      </c>
      <c r="G192" t="s">
        <v>17</v>
      </c>
      <c r="H192" s="46">
        <v>0</v>
      </c>
      <c r="I192" s="46">
        <v>0</v>
      </c>
      <c r="J192" s="46">
        <v>0</v>
      </c>
      <c r="K192" s="46">
        <v>79</v>
      </c>
      <c r="L192" s="46">
        <v>77</v>
      </c>
      <c r="M192" s="48">
        <v>0</v>
      </c>
    </row>
    <row r="193" spans="1:13" x14ac:dyDescent="0.35">
      <c r="A193" t="s">
        <v>174</v>
      </c>
      <c r="B193" t="s">
        <v>13</v>
      </c>
      <c r="C193" t="s">
        <v>149</v>
      </c>
      <c r="D193" t="s">
        <v>146</v>
      </c>
      <c r="E193" t="s">
        <v>179</v>
      </c>
      <c r="F193" t="s">
        <v>16</v>
      </c>
      <c r="G193" t="s">
        <v>17</v>
      </c>
      <c r="H193" s="46">
        <v>1</v>
      </c>
      <c r="I193" s="46">
        <v>0</v>
      </c>
      <c r="J193" s="46">
        <v>0</v>
      </c>
      <c r="K193" s="46">
        <v>187</v>
      </c>
      <c r="L193" s="46">
        <v>184</v>
      </c>
      <c r="M193" s="48">
        <v>5.4347826086956503E-3</v>
      </c>
    </row>
    <row r="194" spans="1:13" x14ac:dyDescent="0.35">
      <c r="A194" t="s">
        <v>174</v>
      </c>
      <c r="B194" t="s">
        <v>13</v>
      </c>
      <c r="C194" t="s">
        <v>145</v>
      </c>
      <c r="D194" t="s">
        <v>162</v>
      </c>
      <c r="E194" t="s">
        <v>179</v>
      </c>
      <c r="F194" t="s">
        <v>28</v>
      </c>
      <c r="G194" t="s">
        <v>29</v>
      </c>
      <c r="H194" s="46">
        <v>2</v>
      </c>
      <c r="I194" s="46">
        <v>0</v>
      </c>
      <c r="J194" s="46">
        <v>0</v>
      </c>
      <c r="K194" s="46">
        <v>16</v>
      </c>
      <c r="L194" s="46">
        <v>14</v>
      </c>
      <c r="M194" s="48">
        <v>0.14285714285714299</v>
      </c>
    </row>
    <row r="195" spans="1:13" x14ac:dyDescent="0.35">
      <c r="A195" t="s">
        <v>174</v>
      </c>
      <c r="B195" t="s">
        <v>13</v>
      </c>
      <c r="C195" t="s">
        <v>157</v>
      </c>
      <c r="D195" t="s">
        <v>146</v>
      </c>
      <c r="E195" t="s">
        <v>180</v>
      </c>
      <c r="F195" t="s">
        <v>21</v>
      </c>
      <c r="G195" t="s">
        <v>181</v>
      </c>
      <c r="H195" s="46">
        <v>3169</v>
      </c>
      <c r="I195" s="46">
        <v>0</v>
      </c>
      <c r="J195" s="46">
        <v>6</v>
      </c>
      <c r="K195" s="46">
        <v>144240</v>
      </c>
      <c r="L195" s="46">
        <v>65394</v>
      </c>
      <c r="M195" s="48">
        <v>4.8460103373398199E-2</v>
      </c>
    </row>
    <row r="196" spans="1:13" x14ac:dyDescent="0.35">
      <c r="A196" t="s">
        <v>174</v>
      </c>
      <c r="B196" t="s">
        <v>13</v>
      </c>
      <c r="C196" t="s">
        <v>149</v>
      </c>
      <c r="D196" t="s">
        <v>146</v>
      </c>
      <c r="E196" t="s">
        <v>180</v>
      </c>
      <c r="F196" t="s">
        <v>21</v>
      </c>
      <c r="G196" t="s">
        <v>181</v>
      </c>
      <c r="H196" s="46">
        <v>4993</v>
      </c>
      <c r="I196" s="46">
        <v>0</v>
      </c>
      <c r="J196" s="46">
        <v>17</v>
      </c>
      <c r="K196" s="46">
        <v>265318</v>
      </c>
      <c r="L196" s="46">
        <v>93950</v>
      </c>
      <c r="M196" s="48">
        <v>5.3145290047897802E-2</v>
      </c>
    </row>
    <row r="197" spans="1:13" x14ac:dyDescent="0.35">
      <c r="A197" t="s">
        <v>174</v>
      </c>
      <c r="B197" t="s">
        <v>13</v>
      </c>
      <c r="C197" t="s">
        <v>149</v>
      </c>
      <c r="D197" t="s">
        <v>146</v>
      </c>
      <c r="E197" t="s">
        <v>182</v>
      </c>
      <c r="F197" t="s">
        <v>183</v>
      </c>
      <c r="G197" t="s">
        <v>18</v>
      </c>
      <c r="H197" s="46">
        <v>2</v>
      </c>
      <c r="I197" s="46">
        <v>0</v>
      </c>
      <c r="J197" s="46">
        <v>0</v>
      </c>
      <c r="K197" s="46">
        <v>264</v>
      </c>
      <c r="L197" s="46">
        <v>259</v>
      </c>
      <c r="M197" s="48">
        <v>7.7220077220077196E-3</v>
      </c>
    </row>
    <row r="198" spans="1:13" x14ac:dyDescent="0.35">
      <c r="A198" t="s">
        <v>174</v>
      </c>
      <c r="B198" t="s">
        <v>13</v>
      </c>
      <c r="C198" t="s">
        <v>150</v>
      </c>
      <c r="D198" t="s">
        <v>146</v>
      </c>
      <c r="E198" t="s">
        <v>182</v>
      </c>
      <c r="F198" t="s">
        <v>183</v>
      </c>
      <c r="G198" t="s">
        <v>18</v>
      </c>
      <c r="H198" s="46">
        <v>0</v>
      </c>
      <c r="I198" s="46">
        <v>0</v>
      </c>
      <c r="J198" s="46">
        <v>0</v>
      </c>
      <c r="K198" s="46">
        <v>96</v>
      </c>
      <c r="L198" s="46">
        <v>93</v>
      </c>
      <c r="M198" s="48">
        <v>0</v>
      </c>
    </row>
    <row r="199" spans="1:13" x14ac:dyDescent="0.35">
      <c r="A199" t="s">
        <v>174</v>
      </c>
      <c r="B199" t="s">
        <v>13</v>
      </c>
      <c r="C199" t="s">
        <v>156</v>
      </c>
      <c r="D199" t="s">
        <v>146</v>
      </c>
      <c r="E199" t="s">
        <v>182</v>
      </c>
      <c r="F199" t="s">
        <v>183</v>
      </c>
      <c r="G199" t="s">
        <v>18</v>
      </c>
      <c r="H199" s="46">
        <v>4</v>
      </c>
      <c r="I199" s="46">
        <v>0</v>
      </c>
      <c r="J199" s="46">
        <v>3</v>
      </c>
      <c r="K199" s="46">
        <v>74</v>
      </c>
      <c r="L199" s="46">
        <v>65</v>
      </c>
      <c r="M199" s="48">
        <v>6.15384615384615E-2</v>
      </c>
    </row>
    <row r="200" spans="1:13" x14ac:dyDescent="0.35">
      <c r="A200" t="s">
        <v>174</v>
      </c>
      <c r="B200" t="s">
        <v>13</v>
      </c>
      <c r="C200" t="s">
        <v>148</v>
      </c>
      <c r="D200" t="s">
        <v>146</v>
      </c>
      <c r="E200" t="s">
        <v>182</v>
      </c>
      <c r="F200" t="s">
        <v>183</v>
      </c>
      <c r="G200" t="s">
        <v>18</v>
      </c>
      <c r="H200" s="46">
        <v>3</v>
      </c>
      <c r="I200" s="46">
        <v>0</v>
      </c>
      <c r="J200" s="46">
        <v>1</v>
      </c>
      <c r="K200" s="46">
        <v>249</v>
      </c>
      <c r="L200" s="46">
        <v>244</v>
      </c>
      <c r="M200" s="48">
        <v>1.2295081967213101E-2</v>
      </c>
    </row>
    <row r="201" spans="1:13" x14ac:dyDescent="0.35">
      <c r="A201" t="s">
        <v>174</v>
      </c>
      <c r="B201" t="s">
        <v>13</v>
      </c>
      <c r="C201" t="s">
        <v>151</v>
      </c>
      <c r="D201" t="s">
        <v>146</v>
      </c>
      <c r="E201" t="s">
        <v>182</v>
      </c>
      <c r="F201" t="s">
        <v>183</v>
      </c>
      <c r="G201" t="s">
        <v>18</v>
      </c>
      <c r="H201" s="46">
        <v>0</v>
      </c>
      <c r="I201" s="46">
        <v>0</v>
      </c>
      <c r="J201" s="46">
        <v>0</v>
      </c>
      <c r="K201" s="46">
        <v>52</v>
      </c>
      <c r="L201" s="46">
        <v>49</v>
      </c>
      <c r="M201" s="48">
        <v>0</v>
      </c>
    </row>
    <row r="202" spans="1:13" x14ac:dyDescent="0.35">
      <c r="A202" t="s">
        <v>174</v>
      </c>
      <c r="B202" t="s">
        <v>13</v>
      </c>
      <c r="C202" t="s">
        <v>157</v>
      </c>
      <c r="D202" t="s">
        <v>146</v>
      </c>
      <c r="E202" t="s">
        <v>182</v>
      </c>
      <c r="F202" t="s">
        <v>183</v>
      </c>
      <c r="G202" t="s">
        <v>18</v>
      </c>
      <c r="H202" s="46">
        <v>1</v>
      </c>
      <c r="I202" s="46">
        <v>0</v>
      </c>
      <c r="J202" s="46">
        <v>0</v>
      </c>
      <c r="K202" s="46">
        <v>724</v>
      </c>
      <c r="L202" s="46">
        <v>689</v>
      </c>
      <c r="M202" s="48">
        <v>1.45137880986938E-3</v>
      </c>
    </row>
    <row r="203" spans="1:13" x14ac:dyDescent="0.35">
      <c r="A203" t="s">
        <v>174</v>
      </c>
      <c r="B203" t="s">
        <v>13</v>
      </c>
      <c r="C203" t="s">
        <v>153</v>
      </c>
      <c r="D203" t="s">
        <v>146</v>
      </c>
      <c r="E203" t="s">
        <v>182</v>
      </c>
      <c r="F203" t="s">
        <v>183</v>
      </c>
      <c r="G203" t="s">
        <v>18</v>
      </c>
      <c r="H203" s="46">
        <v>0</v>
      </c>
      <c r="I203" s="46">
        <v>0</v>
      </c>
      <c r="J203" s="46">
        <v>0</v>
      </c>
      <c r="K203" s="46">
        <v>24</v>
      </c>
      <c r="L203" s="46">
        <v>24</v>
      </c>
      <c r="M203" s="48">
        <v>0</v>
      </c>
    </row>
    <row r="204" spans="1:13" x14ac:dyDescent="0.35">
      <c r="A204" t="s">
        <v>174</v>
      </c>
      <c r="B204" t="s">
        <v>13</v>
      </c>
      <c r="C204" t="s">
        <v>152</v>
      </c>
      <c r="D204" t="s">
        <v>146</v>
      </c>
      <c r="E204" t="s">
        <v>182</v>
      </c>
      <c r="F204" t="s">
        <v>183</v>
      </c>
      <c r="G204" t="s">
        <v>18</v>
      </c>
      <c r="H204" s="46">
        <v>7</v>
      </c>
      <c r="I204" s="46">
        <v>0</v>
      </c>
      <c r="J204" s="46">
        <v>3</v>
      </c>
      <c r="K204" s="46">
        <v>42</v>
      </c>
      <c r="L204" s="46">
        <v>39</v>
      </c>
      <c r="M204" s="48">
        <v>0.17948717948717899</v>
      </c>
    </row>
    <row r="205" spans="1:13" x14ac:dyDescent="0.35">
      <c r="A205" t="s">
        <v>174</v>
      </c>
      <c r="B205" t="s">
        <v>13</v>
      </c>
      <c r="C205" t="s">
        <v>154</v>
      </c>
      <c r="D205" t="s">
        <v>146</v>
      </c>
      <c r="E205" t="s">
        <v>182</v>
      </c>
      <c r="F205" t="s">
        <v>183</v>
      </c>
      <c r="G205" t="s">
        <v>18</v>
      </c>
      <c r="H205" s="46">
        <v>0</v>
      </c>
      <c r="I205" s="46">
        <v>0</v>
      </c>
      <c r="J205" s="46">
        <v>0</v>
      </c>
      <c r="K205" s="46">
        <v>25</v>
      </c>
      <c r="L205" s="46">
        <v>23</v>
      </c>
      <c r="M205" s="48">
        <v>0</v>
      </c>
    </row>
    <row r="206" spans="1:13" x14ac:dyDescent="0.35">
      <c r="A206" t="s">
        <v>174</v>
      </c>
      <c r="B206" t="s">
        <v>13</v>
      </c>
      <c r="C206" t="s">
        <v>155</v>
      </c>
      <c r="D206" t="s">
        <v>146</v>
      </c>
      <c r="E206" t="s">
        <v>182</v>
      </c>
      <c r="F206" t="s">
        <v>183</v>
      </c>
      <c r="G206" t="s">
        <v>18</v>
      </c>
      <c r="H206" s="46">
        <v>1</v>
      </c>
      <c r="I206" s="46">
        <v>0</v>
      </c>
      <c r="J206" s="46">
        <v>0</v>
      </c>
      <c r="K206" s="46">
        <v>102</v>
      </c>
      <c r="L206" s="46">
        <v>101</v>
      </c>
      <c r="M206" s="48">
        <v>9.9009900990098994E-3</v>
      </c>
    </row>
    <row r="207" spans="1:13" x14ac:dyDescent="0.35">
      <c r="A207" t="s">
        <v>174</v>
      </c>
      <c r="B207" t="s">
        <v>13</v>
      </c>
      <c r="C207" t="s">
        <v>158</v>
      </c>
      <c r="D207" t="s">
        <v>146</v>
      </c>
      <c r="E207" t="s">
        <v>182</v>
      </c>
      <c r="F207" t="s">
        <v>183</v>
      </c>
      <c r="G207" t="s">
        <v>18</v>
      </c>
      <c r="H207" s="46">
        <v>8</v>
      </c>
      <c r="I207" s="46">
        <v>0</v>
      </c>
      <c r="J207" s="46">
        <v>1</v>
      </c>
      <c r="K207" s="46">
        <v>855</v>
      </c>
      <c r="L207" s="46">
        <v>846</v>
      </c>
      <c r="M207" s="48">
        <v>9.4562647754137096E-3</v>
      </c>
    </row>
    <row r="208" spans="1:13" x14ac:dyDescent="0.35">
      <c r="A208" t="s">
        <v>174</v>
      </c>
      <c r="B208" t="s">
        <v>36</v>
      </c>
      <c r="C208" t="s">
        <v>150</v>
      </c>
      <c r="D208" t="s">
        <v>146</v>
      </c>
      <c r="E208" t="s">
        <v>179</v>
      </c>
      <c r="F208" t="s">
        <v>16</v>
      </c>
      <c r="G208" t="s">
        <v>17</v>
      </c>
      <c r="H208" s="46">
        <v>1</v>
      </c>
      <c r="I208" s="46">
        <v>1</v>
      </c>
      <c r="J208" s="46">
        <v>0</v>
      </c>
      <c r="K208" s="46">
        <v>11</v>
      </c>
      <c r="L208" s="46">
        <v>10</v>
      </c>
      <c r="M208" s="48">
        <v>0.1</v>
      </c>
    </row>
    <row r="209" spans="1:13" x14ac:dyDescent="0.35">
      <c r="A209" t="s">
        <v>174</v>
      </c>
      <c r="B209" t="s">
        <v>36</v>
      </c>
      <c r="C209" t="s">
        <v>151</v>
      </c>
      <c r="D209" t="s">
        <v>146</v>
      </c>
      <c r="E209" t="s">
        <v>179</v>
      </c>
      <c r="F209" t="s">
        <v>16</v>
      </c>
      <c r="G209" t="s">
        <v>17</v>
      </c>
      <c r="H209" s="46">
        <v>1</v>
      </c>
      <c r="I209" s="46">
        <v>1</v>
      </c>
      <c r="J209" s="46">
        <v>0</v>
      </c>
      <c r="K209" s="46">
        <v>14</v>
      </c>
      <c r="L209" s="46">
        <v>12</v>
      </c>
      <c r="M209" s="48">
        <v>8.3333333333333301E-2</v>
      </c>
    </row>
    <row r="210" spans="1:13" x14ac:dyDescent="0.35">
      <c r="A210" t="s">
        <v>174</v>
      </c>
      <c r="B210" t="s">
        <v>36</v>
      </c>
      <c r="C210" t="s">
        <v>152</v>
      </c>
      <c r="D210" t="s">
        <v>146</v>
      </c>
      <c r="E210" t="s">
        <v>179</v>
      </c>
      <c r="F210" t="s">
        <v>16</v>
      </c>
      <c r="G210" t="s">
        <v>17</v>
      </c>
      <c r="H210" s="46">
        <v>17</v>
      </c>
      <c r="I210" s="46">
        <v>17</v>
      </c>
      <c r="J210" s="46">
        <v>0</v>
      </c>
      <c r="K210" s="46">
        <v>81</v>
      </c>
      <c r="L210" s="46">
        <v>74</v>
      </c>
      <c r="M210" s="48">
        <v>0.22972972972972999</v>
      </c>
    </row>
    <row r="211" spans="1:13" x14ac:dyDescent="0.35">
      <c r="A211" t="s">
        <v>174</v>
      </c>
      <c r="B211" t="s">
        <v>36</v>
      </c>
      <c r="C211" t="s">
        <v>153</v>
      </c>
      <c r="D211" t="s">
        <v>146</v>
      </c>
      <c r="E211" t="s">
        <v>179</v>
      </c>
      <c r="F211" t="s">
        <v>16</v>
      </c>
      <c r="G211" t="s">
        <v>17</v>
      </c>
      <c r="H211" s="46">
        <v>1</v>
      </c>
      <c r="I211" s="46">
        <v>1</v>
      </c>
      <c r="J211" s="46">
        <v>0</v>
      </c>
      <c r="K211" s="46">
        <v>4</v>
      </c>
      <c r="L211" s="46">
        <v>4</v>
      </c>
      <c r="M211" s="48">
        <v>0.25</v>
      </c>
    </row>
    <row r="212" spans="1:13" x14ac:dyDescent="0.35">
      <c r="A212" t="s">
        <v>174</v>
      </c>
      <c r="B212" t="s">
        <v>36</v>
      </c>
      <c r="C212" t="s">
        <v>154</v>
      </c>
      <c r="D212" t="s">
        <v>146</v>
      </c>
      <c r="E212" t="s">
        <v>179</v>
      </c>
      <c r="F212" t="s">
        <v>16</v>
      </c>
      <c r="G212" t="s">
        <v>17</v>
      </c>
      <c r="H212" s="46">
        <v>1</v>
      </c>
      <c r="I212" s="46">
        <v>1</v>
      </c>
      <c r="J212" s="46">
        <v>0</v>
      </c>
      <c r="K212" s="46">
        <v>17</v>
      </c>
      <c r="L212" s="46">
        <v>16</v>
      </c>
      <c r="M212" s="48">
        <v>6.25E-2</v>
      </c>
    </row>
    <row r="213" spans="1:13" x14ac:dyDescent="0.35">
      <c r="A213" t="s">
        <v>174</v>
      </c>
      <c r="B213" t="s">
        <v>36</v>
      </c>
      <c r="C213" t="s">
        <v>148</v>
      </c>
      <c r="D213" t="s">
        <v>146</v>
      </c>
      <c r="E213" t="s">
        <v>179</v>
      </c>
      <c r="F213" t="s">
        <v>16</v>
      </c>
      <c r="G213" t="s">
        <v>17</v>
      </c>
      <c r="H213" s="46">
        <v>10</v>
      </c>
      <c r="I213" s="46">
        <v>8</v>
      </c>
      <c r="J213" s="46">
        <v>0</v>
      </c>
      <c r="K213" s="46">
        <v>179</v>
      </c>
      <c r="L213" s="46">
        <v>169</v>
      </c>
      <c r="M213" s="48">
        <v>5.9171597633136098E-2</v>
      </c>
    </row>
    <row r="214" spans="1:13" x14ac:dyDescent="0.35">
      <c r="A214" t="s">
        <v>174</v>
      </c>
      <c r="B214" t="s">
        <v>36</v>
      </c>
      <c r="C214" t="s">
        <v>155</v>
      </c>
      <c r="D214" t="s">
        <v>146</v>
      </c>
      <c r="E214" t="s">
        <v>179</v>
      </c>
      <c r="F214" t="s">
        <v>16</v>
      </c>
      <c r="G214" t="s">
        <v>17</v>
      </c>
      <c r="H214" s="46">
        <v>2</v>
      </c>
      <c r="I214" s="46">
        <v>2</v>
      </c>
      <c r="J214" s="46">
        <v>0</v>
      </c>
      <c r="K214" s="46">
        <v>11</v>
      </c>
      <c r="L214" s="46">
        <v>11</v>
      </c>
      <c r="M214" s="48">
        <v>0.18181818181818199</v>
      </c>
    </row>
    <row r="215" spans="1:13" x14ac:dyDescent="0.35">
      <c r="A215" t="s">
        <v>174</v>
      </c>
      <c r="B215" t="s">
        <v>36</v>
      </c>
      <c r="C215" t="s">
        <v>156</v>
      </c>
      <c r="D215" t="s">
        <v>146</v>
      </c>
      <c r="E215" t="s">
        <v>179</v>
      </c>
      <c r="F215" t="s">
        <v>16</v>
      </c>
      <c r="G215" t="s">
        <v>17</v>
      </c>
      <c r="H215" s="46">
        <v>2</v>
      </c>
      <c r="I215" s="46">
        <v>2</v>
      </c>
      <c r="J215" s="46">
        <v>0</v>
      </c>
      <c r="K215" s="46">
        <v>16</v>
      </c>
      <c r="L215" s="46">
        <v>14</v>
      </c>
      <c r="M215" s="48">
        <v>0.14285714285714299</v>
      </c>
    </row>
    <row r="216" spans="1:13" x14ac:dyDescent="0.35">
      <c r="A216" t="s">
        <v>174</v>
      </c>
      <c r="B216" t="s">
        <v>36</v>
      </c>
      <c r="C216" t="s">
        <v>157</v>
      </c>
      <c r="D216" t="s">
        <v>146</v>
      </c>
      <c r="E216" t="s">
        <v>179</v>
      </c>
      <c r="F216" t="s">
        <v>16</v>
      </c>
      <c r="G216" t="s">
        <v>17</v>
      </c>
      <c r="H216" s="46">
        <v>1</v>
      </c>
      <c r="I216" s="46">
        <v>1</v>
      </c>
      <c r="J216" s="46">
        <v>0</v>
      </c>
      <c r="K216" s="46">
        <v>22</v>
      </c>
      <c r="L216" s="46">
        <v>21</v>
      </c>
      <c r="M216" s="48">
        <v>4.7619047619047603E-2</v>
      </c>
    </row>
    <row r="217" spans="1:13" x14ac:dyDescent="0.35">
      <c r="A217" t="s">
        <v>174</v>
      </c>
      <c r="B217" t="s">
        <v>36</v>
      </c>
      <c r="C217" t="s">
        <v>158</v>
      </c>
      <c r="D217" t="s">
        <v>146</v>
      </c>
      <c r="E217" t="s">
        <v>179</v>
      </c>
      <c r="F217" t="s">
        <v>16</v>
      </c>
      <c r="G217" t="s">
        <v>17</v>
      </c>
      <c r="H217" s="46">
        <v>3</v>
      </c>
      <c r="I217" s="46">
        <v>3</v>
      </c>
      <c r="J217" s="46">
        <v>0</v>
      </c>
      <c r="K217" s="46">
        <v>37</v>
      </c>
      <c r="L217" s="46">
        <v>37</v>
      </c>
      <c r="M217" s="48">
        <v>8.1081081081081099E-2</v>
      </c>
    </row>
    <row r="218" spans="1:13" x14ac:dyDescent="0.35">
      <c r="A218" t="s">
        <v>174</v>
      </c>
      <c r="B218" t="s">
        <v>36</v>
      </c>
      <c r="C218" t="s">
        <v>145</v>
      </c>
      <c r="D218" t="s">
        <v>162</v>
      </c>
      <c r="E218" t="s">
        <v>184</v>
      </c>
      <c r="F218" t="s">
        <v>28</v>
      </c>
      <c r="G218" t="s">
        <v>29</v>
      </c>
      <c r="H218" s="46">
        <v>5</v>
      </c>
      <c r="I218" s="46">
        <v>5</v>
      </c>
      <c r="J218" s="46">
        <v>0</v>
      </c>
      <c r="K218" s="46">
        <v>28</v>
      </c>
      <c r="L218" s="46">
        <v>23</v>
      </c>
      <c r="M218" s="48">
        <v>0.217391304347826</v>
      </c>
    </row>
    <row r="219" spans="1:13" x14ac:dyDescent="0.35">
      <c r="A219" t="s">
        <v>174</v>
      </c>
      <c r="B219" t="s">
        <v>36</v>
      </c>
      <c r="C219" t="s">
        <v>150</v>
      </c>
      <c r="D219" t="s">
        <v>146</v>
      </c>
      <c r="E219" t="s">
        <v>178</v>
      </c>
      <c r="F219" t="s">
        <v>16</v>
      </c>
      <c r="G219" t="s">
        <v>20</v>
      </c>
      <c r="H219" s="46">
        <v>2</v>
      </c>
      <c r="I219" s="46">
        <v>1</v>
      </c>
      <c r="J219" s="46">
        <v>0</v>
      </c>
      <c r="K219" s="46">
        <v>12</v>
      </c>
      <c r="L219" s="46">
        <v>12</v>
      </c>
      <c r="M219" s="48">
        <v>0.16666666666666699</v>
      </c>
    </row>
    <row r="220" spans="1:13" x14ac:dyDescent="0.35">
      <c r="A220" t="s">
        <v>174</v>
      </c>
      <c r="B220" t="s">
        <v>36</v>
      </c>
      <c r="C220" t="s">
        <v>151</v>
      </c>
      <c r="D220" t="s">
        <v>146</v>
      </c>
      <c r="E220" t="s">
        <v>178</v>
      </c>
      <c r="F220" t="s">
        <v>16</v>
      </c>
      <c r="G220" t="s">
        <v>20</v>
      </c>
      <c r="H220" s="46">
        <v>0</v>
      </c>
      <c r="I220" s="46">
        <v>0</v>
      </c>
      <c r="J220" s="46">
        <v>0</v>
      </c>
      <c r="K220" s="46">
        <v>16</v>
      </c>
      <c r="L220" s="46">
        <v>12</v>
      </c>
      <c r="M220" s="48">
        <v>0</v>
      </c>
    </row>
    <row r="221" spans="1:13" x14ac:dyDescent="0.35">
      <c r="A221" t="s">
        <v>174</v>
      </c>
      <c r="B221" t="s">
        <v>36</v>
      </c>
      <c r="C221" t="s">
        <v>152</v>
      </c>
      <c r="D221" t="s">
        <v>146</v>
      </c>
      <c r="E221" t="s">
        <v>178</v>
      </c>
      <c r="F221" t="s">
        <v>16</v>
      </c>
      <c r="G221" t="s">
        <v>20</v>
      </c>
      <c r="H221" s="46">
        <v>10</v>
      </c>
      <c r="I221" s="46">
        <v>10</v>
      </c>
      <c r="J221" s="46">
        <v>0</v>
      </c>
      <c r="K221" s="46">
        <v>82</v>
      </c>
      <c r="L221" s="46">
        <v>59</v>
      </c>
      <c r="M221" s="48">
        <v>0.169491525423729</v>
      </c>
    </row>
    <row r="222" spans="1:13" x14ac:dyDescent="0.35">
      <c r="A222" t="s">
        <v>174</v>
      </c>
      <c r="B222" t="s">
        <v>36</v>
      </c>
      <c r="C222" t="s">
        <v>153</v>
      </c>
      <c r="D222" t="s">
        <v>146</v>
      </c>
      <c r="E222" t="s">
        <v>178</v>
      </c>
      <c r="F222" t="s">
        <v>16</v>
      </c>
      <c r="G222" t="s">
        <v>20</v>
      </c>
      <c r="H222" s="46">
        <v>0</v>
      </c>
      <c r="I222" s="46">
        <v>0</v>
      </c>
      <c r="J222" s="46">
        <v>0</v>
      </c>
      <c r="K222" s="46">
        <v>7</v>
      </c>
      <c r="L222" s="46">
        <v>5</v>
      </c>
      <c r="M222" s="48">
        <v>0</v>
      </c>
    </row>
    <row r="223" spans="1:13" x14ac:dyDescent="0.35">
      <c r="A223" t="s">
        <v>174</v>
      </c>
      <c r="B223" t="s">
        <v>36</v>
      </c>
      <c r="C223" t="s">
        <v>154</v>
      </c>
      <c r="D223" t="s">
        <v>146</v>
      </c>
      <c r="E223" t="s">
        <v>178</v>
      </c>
      <c r="F223" t="s">
        <v>16</v>
      </c>
      <c r="G223" t="s">
        <v>20</v>
      </c>
      <c r="H223" s="46">
        <v>0</v>
      </c>
      <c r="I223" s="46">
        <v>0</v>
      </c>
      <c r="J223" s="46">
        <v>0</v>
      </c>
      <c r="K223" s="46">
        <v>17</v>
      </c>
      <c r="L223" s="46">
        <v>14</v>
      </c>
      <c r="M223" s="48">
        <v>0</v>
      </c>
    </row>
    <row r="224" spans="1:13" x14ac:dyDescent="0.35">
      <c r="A224" t="s">
        <v>174</v>
      </c>
      <c r="B224" t="s">
        <v>36</v>
      </c>
      <c r="C224" t="s">
        <v>148</v>
      </c>
      <c r="D224" t="s">
        <v>146</v>
      </c>
      <c r="E224" t="s">
        <v>178</v>
      </c>
      <c r="F224" t="s">
        <v>16</v>
      </c>
      <c r="G224" t="s">
        <v>20</v>
      </c>
      <c r="H224" s="46">
        <v>7</v>
      </c>
      <c r="I224" s="46">
        <v>7</v>
      </c>
      <c r="J224" s="46">
        <v>0</v>
      </c>
      <c r="K224" s="46">
        <v>158</v>
      </c>
      <c r="L224" s="46">
        <v>123</v>
      </c>
      <c r="M224" s="48">
        <v>5.6910569105691103E-2</v>
      </c>
    </row>
    <row r="225" spans="1:13" x14ac:dyDescent="0.35">
      <c r="A225" t="s">
        <v>174</v>
      </c>
      <c r="B225" t="s">
        <v>36</v>
      </c>
      <c r="C225" t="s">
        <v>155</v>
      </c>
      <c r="D225" t="s">
        <v>146</v>
      </c>
      <c r="E225" t="s">
        <v>178</v>
      </c>
      <c r="F225" t="s">
        <v>16</v>
      </c>
      <c r="G225" t="s">
        <v>20</v>
      </c>
      <c r="H225" s="46">
        <v>1</v>
      </c>
      <c r="I225" s="46">
        <v>1</v>
      </c>
      <c r="J225" s="46">
        <v>0</v>
      </c>
      <c r="K225" s="46">
        <v>15</v>
      </c>
      <c r="L225" s="46">
        <v>11</v>
      </c>
      <c r="M225" s="48">
        <v>9.0909090909090898E-2</v>
      </c>
    </row>
    <row r="226" spans="1:13" x14ac:dyDescent="0.35">
      <c r="A226" t="s">
        <v>174</v>
      </c>
      <c r="B226" t="s">
        <v>36</v>
      </c>
      <c r="C226" t="s">
        <v>156</v>
      </c>
      <c r="D226" t="s">
        <v>146</v>
      </c>
      <c r="E226" t="s">
        <v>178</v>
      </c>
      <c r="F226" t="s">
        <v>16</v>
      </c>
      <c r="G226" t="s">
        <v>20</v>
      </c>
      <c r="H226" s="46">
        <v>1</v>
      </c>
      <c r="I226" s="46">
        <v>1</v>
      </c>
      <c r="J226" s="46">
        <v>0</v>
      </c>
      <c r="K226" s="46">
        <v>13</v>
      </c>
      <c r="L226" s="46">
        <v>11</v>
      </c>
      <c r="M226" s="48">
        <v>9.0909090909090898E-2</v>
      </c>
    </row>
    <row r="227" spans="1:13" x14ac:dyDescent="0.35">
      <c r="A227" t="s">
        <v>174</v>
      </c>
      <c r="B227" t="s">
        <v>36</v>
      </c>
      <c r="C227" t="s">
        <v>157</v>
      </c>
      <c r="D227" t="s">
        <v>146</v>
      </c>
      <c r="E227" t="s">
        <v>178</v>
      </c>
      <c r="F227" t="s">
        <v>16</v>
      </c>
      <c r="G227" t="s">
        <v>20</v>
      </c>
      <c r="H227" s="46">
        <v>0</v>
      </c>
      <c r="I227" s="46">
        <v>0</v>
      </c>
      <c r="J227" s="46">
        <v>0</v>
      </c>
      <c r="K227" s="46">
        <v>16</v>
      </c>
      <c r="L227" s="46">
        <v>15</v>
      </c>
      <c r="M227" s="48">
        <v>0</v>
      </c>
    </row>
    <row r="228" spans="1:13" x14ac:dyDescent="0.35">
      <c r="A228" t="s">
        <v>174</v>
      </c>
      <c r="B228" t="s">
        <v>36</v>
      </c>
      <c r="C228" t="s">
        <v>158</v>
      </c>
      <c r="D228" t="s">
        <v>146</v>
      </c>
      <c r="E228" t="s">
        <v>178</v>
      </c>
      <c r="F228" t="s">
        <v>16</v>
      </c>
      <c r="G228" t="s">
        <v>20</v>
      </c>
      <c r="H228" s="46">
        <v>2</v>
      </c>
      <c r="I228" s="46">
        <v>1</v>
      </c>
      <c r="J228" s="46">
        <v>0</v>
      </c>
      <c r="K228" s="46">
        <v>65</v>
      </c>
      <c r="L228" s="46">
        <v>52</v>
      </c>
      <c r="M228" s="48">
        <v>3.8461538461538498E-2</v>
      </c>
    </row>
    <row r="229" spans="1:13" x14ac:dyDescent="0.35">
      <c r="A229" t="s">
        <v>174</v>
      </c>
      <c r="B229" t="s">
        <v>36</v>
      </c>
      <c r="C229" t="s">
        <v>145</v>
      </c>
      <c r="D229" t="s">
        <v>146</v>
      </c>
      <c r="E229" t="s">
        <v>178</v>
      </c>
      <c r="F229" t="s">
        <v>28</v>
      </c>
      <c r="G229" t="s">
        <v>29</v>
      </c>
      <c r="H229" s="46">
        <v>3</v>
      </c>
      <c r="I229" s="46">
        <v>3</v>
      </c>
      <c r="J229" s="46">
        <v>0</v>
      </c>
      <c r="K229" s="46">
        <v>32</v>
      </c>
      <c r="L229" s="46">
        <v>25</v>
      </c>
      <c r="M229" s="48">
        <v>0.12</v>
      </c>
    </row>
    <row r="230" spans="1:13" x14ac:dyDescent="0.35">
      <c r="A230" t="s">
        <v>174</v>
      </c>
      <c r="B230" t="s">
        <v>36</v>
      </c>
      <c r="C230" t="s">
        <v>145</v>
      </c>
      <c r="D230" t="s">
        <v>162</v>
      </c>
      <c r="E230" t="s">
        <v>177</v>
      </c>
      <c r="F230" t="s">
        <v>28</v>
      </c>
      <c r="G230" t="s">
        <v>29</v>
      </c>
      <c r="H230" s="46">
        <v>6</v>
      </c>
      <c r="I230" s="46">
        <v>6</v>
      </c>
      <c r="J230" s="46">
        <v>0</v>
      </c>
      <c r="K230" s="46">
        <v>41</v>
      </c>
      <c r="L230" s="46">
        <v>31</v>
      </c>
      <c r="M230" s="48">
        <v>0.19354838709677399</v>
      </c>
    </row>
    <row r="231" spans="1:13" x14ac:dyDescent="0.35">
      <c r="A231" t="s">
        <v>174</v>
      </c>
      <c r="B231" t="s">
        <v>36</v>
      </c>
      <c r="C231" t="s">
        <v>148</v>
      </c>
      <c r="D231" t="s">
        <v>146</v>
      </c>
      <c r="E231" t="s">
        <v>177</v>
      </c>
      <c r="F231" t="s">
        <v>19</v>
      </c>
      <c r="G231" t="s">
        <v>18</v>
      </c>
      <c r="H231" s="46">
        <v>18</v>
      </c>
      <c r="I231" s="46">
        <v>17</v>
      </c>
      <c r="J231" s="46">
        <v>1</v>
      </c>
      <c r="K231" s="46">
        <v>204</v>
      </c>
      <c r="L231" s="46">
        <v>189</v>
      </c>
      <c r="M231" s="48">
        <v>9.5238095238095205E-2</v>
      </c>
    </row>
    <row r="232" spans="1:13" x14ac:dyDescent="0.35">
      <c r="A232" t="s">
        <v>174</v>
      </c>
      <c r="B232" t="s">
        <v>36</v>
      </c>
      <c r="C232" t="s">
        <v>154</v>
      </c>
      <c r="D232" t="s">
        <v>146</v>
      </c>
      <c r="E232" t="s">
        <v>177</v>
      </c>
      <c r="F232" t="s">
        <v>19</v>
      </c>
      <c r="G232" t="s">
        <v>18</v>
      </c>
      <c r="H232" s="46">
        <v>0</v>
      </c>
      <c r="I232" s="46">
        <v>0</v>
      </c>
      <c r="J232" s="46">
        <v>0</v>
      </c>
      <c r="K232" s="46">
        <v>10</v>
      </c>
      <c r="L232" s="46">
        <v>10</v>
      </c>
      <c r="M232" s="48">
        <v>0</v>
      </c>
    </row>
    <row r="233" spans="1:13" x14ac:dyDescent="0.35">
      <c r="A233" t="s">
        <v>174</v>
      </c>
      <c r="B233" t="s">
        <v>36</v>
      </c>
      <c r="C233" t="s">
        <v>156</v>
      </c>
      <c r="D233" t="s">
        <v>146</v>
      </c>
      <c r="E233" t="s">
        <v>177</v>
      </c>
      <c r="F233" t="s">
        <v>19</v>
      </c>
      <c r="G233" t="s">
        <v>18</v>
      </c>
      <c r="H233" s="46">
        <v>1</v>
      </c>
      <c r="I233" s="46">
        <v>1</v>
      </c>
      <c r="J233" s="46">
        <v>0</v>
      </c>
      <c r="K233" s="46">
        <v>12</v>
      </c>
      <c r="L233" s="46">
        <v>11</v>
      </c>
      <c r="M233" s="48">
        <v>9.0909090909090898E-2</v>
      </c>
    </row>
    <row r="234" spans="1:13" x14ac:dyDescent="0.35">
      <c r="A234" t="s">
        <v>174</v>
      </c>
      <c r="B234" t="s">
        <v>36</v>
      </c>
      <c r="C234" t="s">
        <v>153</v>
      </c>
      <c r="D234" t="s">
        <v>146</v>
      </c>
      <c r="E234" t="s">
        <v>177</v>
      </c>
      <c r="F234" t="s">
        <v>19</v>
      </c>
      <c r="G234" t="s">
        <v>18</v>
      </c>
      <c r="H234" s="46">
        <v>0</v>
      </c>
      <c r="I234" s="46">
        <v>0</v>
      </c>
      <c r="J234" s="46">
        <v>0</v>
      </c>
      <c r="K234" s="46">
        <v>5</v>
      </c>
      <c r="L234" s="46">
        <v>5</v>
      </c>
      <c r="M234" s="48">
        <v>0</v>
      </c>
    </row>
    <row r="235" spans="1:13" x14ac:dyDescent="0.35">
      <c r="A235" t="s">
        <v>174</v>
      </c>
      <c r="B235" t="s">
        <v>36</v>
      </c>
      <c r="C235" t="s">
        <v>158</v>
      </c>
      <c r="D235" t="s">
        <v>146</v>
      </c>
      <c r="E235" t="s">
        <v>177</v>
      </c>
      <c r="F235" t="s">
        <v>19</v>
      </c>
      <c r="G235" t="s">
        <v>18</v>
      </c>
      <c r="H235" s="46">
        <v>1</v>
      </c>
      <c r="I235" s="46">
        <v>1</v>
      </c>
      <c r="J235" s="46">
        <v>0</v>
      </c>
      <c r="K235" s="46">
        <v>37</v>
      </c>
      <c r="L235" s="46">
        <v>31</v>
      </c>
      <c r="M235" s="48">
        <v>3.2258064516128997E-2</v>
      </c>
    </row>
    <row r="236" spans="1:13" x14ac:dyDescent="0.35">
      <c r="A236" t="s">
        <v>174</v>
      </c>
      <c r="B236" t="s">
        <v>36</v>
      </c>
      <c r="C236" t="s">
        <v>152</v>
      </c>
      <c r="D236" t="s">
        <v>146</v>
      </c>
      <c r="E236" t="s">
        <v>177</v>
      </c>
      <c r="F236" t="s">
        <v>19</v>
      </c>
      <c r="G236" t="s">
        <v>18</v>
      </c>
      <c r="H236" s="46">
        <v>9</v>
      </c>
      <c r="I236" s="46">
        <v>9</v>
      </c>
      <c r="J236" s="46">
        <v>0</v>
      </c>
      <c r="K236" s="46">
        <v>75</v>
      </c>
      <c r="L236" s="46">
        <v>62</v>
      </c>
      <c r="M236" s="48">
        <v>0.14516129032258099</v>
      </c>
    </row>
    <row r="237" spans="1:13" x14ac:dyDescent="0.35">
      <c r="A237" t="s">
        <v>174</v>
      </c>
      <c r="B237" t="s">
        <v>36</v>
      </c>
      <c r="C237" t="s">
        <v>157</v>
      </c>
      <c r="D237" t="s">
        <v>146</v>
      </c>
      <c r="E237" t="s">
        <v>177</v>
      </c>
      <c r="F237" t="s">
        <v>19</v>
      </c>
      <c r="G237" t="s">
        <v>18</v>
      </c>
      <c r="H237" s="46">
        <v>1</v>
      </c>
      <c r="I237" s="46">
        <v>1</v>
      </c>
      <c r="J237" s="46">
        <v>0</v>
      </c>
      <c r="K237" s="46">
        <v>14</v>
      </c>
      <c r="L237" s="46">
        <v>14</v>
      </c>
      <c r="M237" s="48">
        <v>7.1428571428571397E-2</v>
      </c>
    </row>
    <row r="238" spans="1:13" x14ac:dyDescent="0.35">
      <c r="A238" t="s">
        <v>174</v>
      </c>
      <c r="B238" t="s">
        <v>36</v>
      </c>
      <c r="C238" t="s">
        <v>151</v>
      </c>
      <c r="D238" t="s">
        <v>146</v>
      </c>
      <c r="E238" t="s">
        <v>177</v>
      </c>
      <c r="F238" t="s">
        <v>19</v>
      </c>
      <c r="G238" t="s">
        <v>18</v>
      </c>
      <c r="H238" s="46">
        <v>0</v>
      </c>
      <c r="I238" s="46">
        <v>0</v>
      </c>
      <c r="J238" s="46">
        <v>0</v>
      </c>
      <c r="K238" s="46">
        <v>9</v>
      </c>
      <c r="L238" s="46">
        <v>9</v>
      </c>
      <c r="M238" s="48">
        <v>0</v>
      </c>
    </row>
    <row r="239" spans="1:13" x14ac:dyDescent="0.35">
      <c r="A239" t="s">
        <v>174</v>
      </c>
      <c r="B239" t="s">
        <v>36</v>
      </c>
      <c r="C239" t="s">
        <v>150</v>
      </c>
      <c r="D239" t="s">
        <v>146</v>
      </c>
      <c r="E239" t="s">
        <v>177</v>
      </c>
      <c r="F239" t="s">
        <v>19</v>
      </c>
      <c r="G239" t="s">
        <v>18</v>
      </c>
      <c r="H239" s="46">
        <v>3</v>
      </c>
      <c r="I239" s="46">
        <v>3</v>
      </c>
      <c r="J239" s="46">
        <v>0</v>
      </c>
      <c r="K239" s="46">
        <v>12</v>
      </c>
      <c r="L239" s="46">
        <v>12</v>
      </c>
      <c r="M239" s="48">
        <v>0.25</v>
      </c>
    </row>
    <row r="240" spans="1:13" x14ac:dyDescent="0.35">
      <c r="A240" t="s">
        <v>174</v>
      </c>
      <c r="B240" t="s">
        <v>36</v>
      </c>
      <c r="C240" t="s">
        <v>155</v>
      </c>
      <c r="D240" t="s">
        <v>146</v>
      </c>
      <c r="E240" t="s">
        <v>177</v>
      </c>
      <c r="F240" t="s">
        <v>19</v>
      </c>
      <c r="G240" t="s">
        <v>18</v>
      </c>
      <c r="H240" s="46">
        <v>1</v>
      </c>
      <c r="I240" s="46">
        <v>1</v>
      </c>
      <c r="J240" s="46">
        <v>0</v>
      </c>
      <c r="K240" s="46">
        <v>8</v>
      </c>
      <c r="L240" s="46">
        <v>8</v>
      </c>
      <c r="M240" s="48">
        <v>0.125</v>
      </c>
    </row>
    <row r="241" spans="1:13" x14ac:dyDescent="0.35">
      <c r="A241" t="s">
        <v>174</v>
      </c>
      <c r="B241" t="s">
        <v>36</v>
      </c>
      <c r="C241" t="s">
        <v>158</v>
      </c>
      <c r="D241" t="s">
        <v>146</v>
      </c>
      <c r="E241" t="s">
        <v>176</v>
      </c>
      <c r="F241" t="s">
        <v>16</v>
      </c>
      <c r="G241" t="s">
        <v>17</v>
      </c>
      <c r="H241" s="46">
        <v>4</v>
      </c>
      <c r="I241" s="46">
        <v>4</v>
      </c>
      <c r="J241" s="46">
        <v>0</v>
      </c>
      <c r="K241" s="46">
        <v>49</v>
      </c>
      <c r="L241" s="46">
        <v>47</v>
      </c>
      <c r="M241" s="48">
        <v>8.5106382978723402E-2</v>
      </c>
    </row>
    <row r="242" spans="1:13" x14ac:dyDescent="0.35">
      <c r="A242" t="s">
        <v>174</v>
      </c>
      <c r="B242" t="s">
        <v>36</v>
      </c>
      <c r="C242" t="s">
        <v>152</v>
      </c>
      <c r="D242" t="s">
        <v>146</v>
      </c>
      <c r="E242" t="s">
        <v>176</v>
      </c>
      <c r="F242" t="s">
        <v>16</v>
      </c>
      <c r="G242" t="s">
        <v>17</v>
      </c>
      <c r="H242" s="46">
        <v>17</v>
      </c>
      <c r="I242" s="46">
        <v>17</v>
      </c>
      <c r="J242" s="46">
        <v>0</v>
      </c>
      <c r="K242" s="46">
        <v>88</v>
      </c>
      <c r="L242" s="46">
        <v>79</v>
      </c>
      <c r="M242" s="48">
        <v>0.215189873417722</v>
      </c>
    </row>
    <row r="243" spans="1:13" x14ac:dyDescent="0.35">
      <c r="A243" t="s">
        <v>174</v>
      </c>
      <c r="B243" t="s">
        <v>36</v>
      </c>
      <c r="C243" t="s">
        <v>148</v>
      </c>
      <c r="D243" t="s">
        <v>146</v>
      </c>
      <c r="E243" t="s">
        <v>176</v>
      </c>
      <c r="F243" t="s">
        <v>16</v>
      </c>
      <c r="G243" t="s">
        <v>17</v>
      </c>
      <c r="H243" s="46">
        <v>8</v>
      </c>
      <c r="I243" s="46">
        <v>7</v>
      </c>
      <c r="J243" s="46">
        <v>1</v>
      </c>
      <c r="K243" s="46">
        <v>153</v>
      </c>
      <c r="L243" s="46">
        <v>144</v>
      </c>
      <c r="M243" s="48">
        <v>5.5555555555555601E-2</v>
      </c>
    </row>
    <row r="244" spans="1:13" x14ac:dyDescent="0.35">
      <c r="A244" t="s">
        <v>174</v>
      </c>
      <c r="B244" t="s">
        <v>36</v>
      </c>
      <c r="C244" t="s">
        <v>154</v>
      </c>
      <c r="D244" t="s">
        <v>146</v>
      </c>
      <c r="E244" t="s">
        <v>176</v>
      </c>
      <c r="F244" t="s">
        <v>16</v>
      </c>
      <c r="G244" t="s">
        <v>17</v>
      </c>
      <c r="H244" s="46">
        <v>0</v>
      </c>
      <c r="I244" s="46">
        <v>0</v>
      </c>
      <c r="J244" s="46">
        <v>0</v>
      </c>
      <c r="K244" s="46">
        <v>13</v>
      </c>
      <c r="L244" s="46">
        <v>12</v>
      </c>
      <c r="M244" s="48">
        <v>0</v>
      </c>
    </row>
    <row r="245" spans="1:13" x14ac:dyDescent="0.35">
      <c r="A245" t="s">
        <v>174</v>
      </c>
      <c r="B245" t="s">
        <v>36</v>
      </c>
      <c r="C245" t="s">
        <v>150</v>
      </c>
      <c r="D245" t="s">
        <v>146</v>
      </c>
      <c r="E245" t="s">
        <v>176</v>
      </c>
      <c r="F245" t="s">
        <v>16</v>
      </c>
      <c r="G245" t="s">
        <v>17</v>
      </c>
      <c r="H245" s="46">
        <v>2</v>
      </c>
      <c r="I245" s="46">
        <v>2</v>
      </c>
      <c r="J245" s="46">
        <v>0</v>
      </c>
      <c r="K245" s="46">
        <v>11</v>
      </c>
      <c r="L245" s="46">
        <v>11</v>
      </c>
      <c r="M245" s="48">
        <v>0.18181818181818199</v>
      </c>
    </row>
    <row r="246" spans="1:13" x14ac:dyDescent="0.35">
      <c r="A246" t="s">
        <v>174</v>
      </c>
      <c r="B246" t="s">
        <v>36</v>
      </c>
      <c r="C246" t="s">
        <v>156</v>
      </c>
      <c r="D246" t="s">
        <v>146</v>
      </c>
      <c r="E246" t="s">
        <v>176</v>
      </c>
      <c r="F246" t="s">
        <v>16</v>
      </c>
      <c r="G246" t="s">
        <v>17</v>
      </c>
      <c r="H246" s="46">
        <v>1</v>
      </c>
      <c r="I246" s="46">
        <v>1</v>
      </c>
      <c r="J246" s="46">
        <v>0</v>
      </c>
      <c r="K246" s="46">
        <v>13</v>
      </c>
      <c r="L246" s="46">
        <v>12</v>
      </c>
      <c r="M246" s="48">
        <v>8.3333333333333301E-2</v>
      </c>
    </row>
    <row r="247" spans="1:13" x14ac:dyDescent="0.35">
      <c r="A247" t="s">
        <v>174</v>
      </c>
      <c r="B247" t="s">
        <v>36</v>
      </c>
      <c r="C247" t="s">
        <v>153</v>
      </c>
      <c r="D247" t="s">
        <v>146</v>
      </c>
      <c r="E247" t="s">
        <v>176</v>
      </c>
      <c r="F247" t="s">
        <v>16</v>
      </c>
      <c r="G247" t="s">
        <v>17</v>
      </c>
      <c r="H247" s="46">
        <v>0</v>
      </c>
      <c r="I247" s="46">
        <v>0</v>
      </c>
      <c r="J247" s="46">
        <v>0</v>
      </c>
      <c r="K247" s="46">
        <v>4</v>
      </c>
      <c r="L247" s="46">
        <v>3</v>
      </c>
      <c r="M247" s="48">
        <v>0</v>
      </c>
    </row>
    <row r="248" spans="1:13" x14ac:dyDescent="0.35">
      <c r="A248" t="s">
        <v>174</v>
      </c>
      <c r="B248" t="s">
        <v>36</v>
      </c>
      <c r="C248" t="s">
        <v>155</v>
      </c>
      <c r="D248" t="s">
        <v>146</v>
      </c>
      <c r="E248" t="s">
        <v>176</v>
      </c>
      <c r="F248" t="s">
        <v>16</v>
      </c>
      <c r="G248" t="s">
        <v>17</v>
      </c>
      <c r="H248" s="46">
        <v>0</v>
      </c>
      <c r="I248" s="46">
        <v>0</v>
      </c>
      <c r="J248" s="46">
        <v>0</v>
      </c>
      <c r="K248" s="46">
        <v>6</v>
      </c>
      <c r="L248" s="46">
        <v>6</v>
      </c>
      <c r="M248" s="48">
        <v>0</v>
      </c>
    </row>
    <row r="249" spans="1:13" x14ac:dyDescent="0.35">
      <c r="A249" t="s">
        <v>174</v>
      </c>
      <c r="B249" t="s">
        <v>36</v>
      </c>
      <c r="C249" t="s">
        <v>157</v>
      </c>
      <c r="D249" t="s">
        <v>146</v>
      </c>
      <c r="E249" t="s">
        <v>176</v>
      </c>
      <c r="F249" t="s">
        <v>16</v>
      </c>
      <c r="G249" t="s">
        <v>17</v>
      </c>
      <c r="H249" s="46">
        <v>0</v>
      </c>
      <c r="I249" s="46">
        <v>0</v>
      </c>
      <c r="J249" s="46">
        <v>0</v>
      </c>
      <c r="K249" s="46">
        <v>15</v>
      </c>
      <c r="L249" s="46">
        <v>15</v>
      </c>
      <c r="M249" s="48">
        <v>0</v>
      </c>
    </row>
    <row r="250" spans="1:13" x14ac:dyDescent="0.35">
      <c r="A250" t="s">
        <v>174</v>
      </c>
      <c r="B250" t="s">
        <v>36</v>
      </c>
      <c r="C250" t="s">
        <v>151</v>
      </c>
      <c r="D250" t="s">
        <v>146</v>
      </c>
      <c r="E250" t="s">
        <v>176</v>
      </c>
      <c r="F250" t="s">
        <v>16</v>
      </c>
      <c r="G250" t="s">
        <v>17</v>
      </c>
      <c r="H250" s="46">
        <v>0</v>
      </c>
      <c r="I250" s="46">
        <v>0</v>
      </c>
      <c r="J250" s="46">
        <v>0</v>
      </c>
      <c r="K250" s="46">
        <v>8</v>
      </c>
      <c r="L250" s="46">
        <v>8</v>
      </c>
      <c r="M250" s="48">
        <v>0</v>
      </c>
    </row>
    <row r="251" spans="1:13" x14ac:dyDescent="0.35">
      <c r="A251" t="s">
        <v>174</v>
      </c>
      <c r="B251" t="s">
        <v>36</v>
      </c>
      <c r="C251" t="s">
        <v>145</v>
      </c>
      <c r="D251" t="s">
        <v>162</v>
      </c>
      <c r="E251" t="s">
        <v>175</v>
      </c>
      <c r="F251" t="s">
        <v>18</v>
      </c>
      <c r="G251" t="s">
        <v>38</v>
      </c>
      <c r="H251" s="46">
        <v>19</v>
      </c>
      <c r="I251" s="46">
        <v>18</v>
      </c>
      <c r="J251" s="46">
        <v>0</v>
      </c>
      <c r="K251" s="46">
        <v>62</v>
      </c>
      <c r="L251" s="46">
        <v>56</v>
      </c>
      <c r="M251" s="48">
        <v>0.33928571428571402</v>
      </c>
    </row>
    <row r="252" spans="1:13" x14ac:dyDescent="0.35">
      <c r="A252" t="s">
        <v>174</v>
      </c>
      <c r="B252" t="s">
        <v>36</v>
      </c>
      <c r="C252" t="s">
        <v>148</v>
      </c>
      <c r="D252" t="s">
        <v>146</v>
      </c>
      <c r="E252" t="s">
        <v>182</v>
      </c>
      <c r="F252" t="s">
        <v>183</v>
      </c>
      <c r="G252" t="s">
        <v>18</v>
      </c>
      <c r="H252" s="46">
        <v>13</v>
      </c>
      <c r="I252" s="46">
        <v>12</v>
      </c>
      <c r="J252" s="46">
        <v>1</v>
      </c>
      <c r="K252" s="46">
        <v>238</v>
      </c>
      <c r="L252" s="46">
        <v>224</v>
      </c>
      <c r="M252" s="48">
        <v>5.8035714285714302E-2</v>
      </c>
    </row>
    <row r="253" spans="1:13" x14ac:dyDescent="0.35">
      <c r="A253" t="s">
        <v>174</v>
      </c>
      <c r="B253" t="s">
        <v>36</v>
      </c>
      <c r="C253" t="s">
        <v>153</v>
      </c>
      <c r="D253" t="s">
        <v>146</v>
      </c>
      <c r="E253" t="s">
        <v>182</v>
      </c>
      <c r="F253" t="s">
        <v>183</v>
      </c>
      <c r="G253" t="s">
        <v>18</v>
      </c>
      <c r="H253" s="46">
        <v>0</v>
      </c>
      <c r="I253" s="46">
        <v>0</v>
      </c>
      <c r="J253" s="46">
        <v>0</v>
      </c>
      <c r="K253" s="46">
        <v>30</v>
      </c>
      <c r="L253" s="46">
        <v>29</v>
      </c>
      <c r="M253" s="48">
        <v>0</v>
      </c>
    </row>
    <row r="254" spans="1:13" x14ac:dyDescent="0.35">
      <c r="A254" t="s">
        <v>174</v>
      </c>
      <c r="B254" t="s">
        <v>36</v>
      </c>
      <c r="C254" t="s">
        <v>155</v>
      </c>
      <c r="D254" t="s">
        <v>146</v>
      </c>
      <c r="E254" t="s">
        <v>182</v>
      </c>
      <c r="F254" t="s">
        <v>183</v>
      </c>
      <c r="G254" t="s">
        <v>18</v>
      </c>
      <c r="H254" s="46">
        <v>1</v>
      </c>
      <c r="I254" s="46">
        <v>1</v>
      </c>
      <c r="J254" s="46">
        <v>0</v>
      </c>
      <c r="K254" s="46">
        <v>22</v>
      </c>
      <c r="L254" s="46">
        <v>22</v>
      </c>
      <c r="M254" s="48">
        <v>4.5454545454545497E-2</v>
      </c>
    </row>
    <row r="255" spans="1:13" x14ac:dyDescent="0.35">
      <c r="A255" t="s">
        <v>174</v>
      </c>
      <c r="B255" t="s">
        <v>36</v>
      </c>
      <c r="C255" t="s">
        <v>157</v>
      </c>
      <c r="D255" t="s">
        <v>146</v>
      </c>
      <c r="E255" t="s">
        <v>182</v>
      </c>
      <c r="F255" t="s">
        <v>183</v>
      </c>
      <c r="G255" t="s">
        <v>18</v>
      </c>
      <c r="H255" s="46">
        <v>0</v>
      </c>
      <c r="I255" s="46">
        <v>0</v>
      </c>
      <c r="J255" s="46">
        <v>0</v>
      </c>
      <c r="K255" s="46">
        <v>16</v>
      </c>
      <c r="L255" s="46">
        <v>16</v>
      </c>
      <c r="M255" s="48">
        <v>0</v>
      </c>
    </row>
    <row r="256" spans="1:13" x14ac:dyDescent="0.35">
      <c r="A256" t="s">
        <v>174</v>
      </c>
      <c r="B256" t="s">
        <v>36</v>
      </c>
      <c r="C256" t="s">
        <v>152</v>
      </c>
      <c r="D256" t="s">
        <v>146</v>
      </c>
      <c r="E256" t="s">
        <v>182</v>
      </c>
      <c r="F256" t="s">
        <v>183</v>
      </c>
      <c r="G256" t="s">
        <v>18</v>
      </c>
      <c r="H256" s="46">
        <v>5</v>
      </c>
      <c r="I256" s="46">
        <v>5</v>
      </c>
      <c r="J256" s="46">
        <v>0</v>
      </c>
      <c r="K256" s="46">
        <v>61</v>
      </c>
      <c r="L256" s="46">
        <v>53</v>
      </c>
      <c r="M256" s="48">
        <v>9.4339622641509399E-2</v>
      </c>
    </row>
    <row r="257" spans="1:13" x14ac:dyDescent="0.35">
      <c r="A257" t="s">
        <v>174</v>
      </c>
      <c r="B257" t="s">
        <v>36</v>
      </c>
      <c r="C257" t="s">
        <v>154</v>
      </c>
      <c r="D257" t="s">
        <v>146</v>
      </c>
      <c r="E257" t="s">
        <v>182</v>
      </c>
      <c r="F257" t="s">
        <v>183</v>
      </c>
      <c r="G257" t="s">
        <v>18</v>
      </c>
      <c r="H257" s="46">
        <v>0</v>
      </c>
      <c r="I257" s="46">
        <v>0</v>
      </c>
      <c r="J257" s="46">
        <v>0</v>
      </c>
      <c r="K257" s="46">
        <v>14</v>
      </c>
      <c r="L257" s="46">
        <v>14</v>
      </c>
      <c r="M257" s="48">
        <v>0</v>
      </c>
    </row>
    <row r="258" spans="1:13" x14ac:dyDescent="0.35">
      <c r="A258" t="s">
        <v>174</v>
      </c>
      <c r="B258" t="s">
        <v>36</v>
      </c>
      <c r="C258" t="s">
        <v>151</v>
      </c>
      <c r="D258" t="s">
        <v>146</v>
      </c>
      <c r="E258" t="s">
        <v>182</v>
      </c>
      <c r="F258" t="s">
        <v>183</v>
      </c>
      <c r="G258" t="s">
        <v>18</v>
      </c>
      <c r="H258" s="46">
        <v>1</v>
      </c>
      <c r="I258" s="46">
        <v>1</v>
      </c>
      <c r="J258" s="46">
        <v>0</v>
      </c>
      <c r="K258" s="46">
        <v>81</v>
      </c>
      <c r="L258" s="46">
        <v>66</v>
      </c>
      <c r="M258" s="48">
        <v>1.5151515151515201E-2</v>
      </c>
    </row>
    <row r="259" spans="1:13" x14ac:dyDescent="0.35">
      <c r="A259" t="s">
        <v>174</v>
      </c>
      <c r="B259" t="s">
        <v>36</v>
      </c>
      <c r="C259" t="s">
        <v>156</v>
      </c>
      <c r="D259" t="s">
        <v>146</v>
      </c>
      <c r="E259" t="s">
        <v>182</v>
      </c>
      <c r="F259" t="s">
        <v>183</v>
      </c>
      <c r="G259" t="s">
        <v>18</v>
      </c>
      <c r="H259" s="46">
        <v>3</v>
      </c>
      <c r="I259" s="46">
        <v>3</v>
      </c>
      <c r="J259" s="46">
        <v>0</v>
      </c>
      <c r="K259" s="46">
        <v>16</v>
      </c>
      <c r="L259" s="46">
        <v>15</v>
      </c>
      <c r="M259" s="48">
        <v>0.2</v>
      </c>
    </row>
    <row r="260" spans="1:13" x14ac:dyDescent="0.35">
      <c r="A260" t="s">
        <v>174</v>
      </c>
      <c r="B260" t="s">
        <v>36</v>
      </c>
      <c r="C260" t="s">
        <v>150</v>
      </c>
      <c r="D260" t="s">
        <v>146</v>
      </c>
      <c r="E260" t="s">
        <v>182</v>
      </c>
      <c r="F260" t="s">
        <v>183</v>
      </c>
      <c r="G260" t="s">
        <v>18</v>
      </c>
      <c r="H260" s="46">
        <v>1</v>
      </c>
      <c r="I260" s="46">
        <v>1</v>
      </c>
      <c r="J260" s="46">
        <v>0</v>
      </c>
      <c r="K260" s="46">
        <v>18</v>
      </c>
      <c r="L260" s="46">
        <v>18</v>
      </c>
      <c r="M260" s="48">
        <v>5.5555555555555601E-2</v>
      </c>
    </row>
    <row r="261" spans="1:13" x14ac:dyDescent="0.35">
      <c r="A261" t="s">
        <v>174</v>
      </c>
      <c r="B261" t="s">
        <v>36</v>
      </c>
      <c r="C261" t="s">
        <v>158</v>
      </c>
      <c r="D261" t="s">
        <v>146</v>
      </c>
      <c r="E261" t="s">
        <v>182</v>
      </c>
      <c r="F261" t="s">
        <v>183</v>
      </c>
      <c r="G261" t="s">
        <v>18</v>
      </c>
      <c r="H261" s="46">
        <v>4</v>
      </c>
      <c r="I261" s="46">
        <v>4</v>
      </c>
      <c r="J261" s="46">
        <v>0</v>
      </c>
      <c r="K261" s="46">
        <v>46</v>
      </c>
      <c r="L261" s="46">
        <v>46</v>
      </c>
      <c r="M261" s="48">
        <v>8.6956521739130405E-2</v>
      </c>
    </row>
    <row r="262" spans="1:13" x14ac:dyDescent="0.35">
      <c r="A262" t="s">
        <v>174</v>
      </c>
      <c r="B262" t="s">
        <v>36</v>
      </c>
      <c r="C262" t="s">
        <v>157</v>
      </c>
      <c r="D262" t="s">
        <v>146</v>
      </c>
      <c r="E262" t="s">
        <v>180</v>
      </c>
      <c r="F262" t="s">
        <v>21</v>
      </c>
      <c r="G262" t="s">
        <v>181</v>
      </c>
      <c r="H262" s="46">
        <v>1</v>
      </c>
      <c r="I262" s="46">
        <v>1</v>
      </c>
      <c r="J262" s="46">
        <v>0</v>
      </c>
      <c r="K262" s="46">
        <v>6</v>
      </c>
      <c r="L262" s="46">
        <v>6</v>
      </c>
      <c r="M262" s="48">
        <v>0.16666666666666699</v>
      </c>
    </row>
    <row r="263" spans="1:13" x14ac:dyDescent="0.35">
      <c r="A263" t="s">
        <v>185</v>
      </c>
      <c r="B263" t="s">
        <v>13</v>
      </c>
      <c r="C263" t="s">
        <v>151</v>
      </c>
      <c r="D263" t="s">
        <v>146</v>
      </c>
      <c r="E263" t="s">
        <v>186</v>
      </c>
      <c r="F263" t="s">
        <v>19</v>
      </c>
      <c r="G263" t="s">
        <v>18</v>
      </c>
      <c r="H263" s="46">
        <v>1</v>
      </c>
      <c r="I263" s="46">
        <v>0</v>
      </c>
      <c r="J263" s="46">
        <v>0</v>
      </c>
      <c r="K263" s="46">
        <v>121</v>
      </c>
      <c r="L263" s="46">
        <v>114</v>
      </c>
      <c r="M263" s="48">
        <v>8.7719298245613996E-3</v>
      </c>
    </row>
    <row r="264" spans="1:13" x14ac:dyDescent="0.35">
      <c r="A264" t="s">
        <v>185</v>
      </c>
      <c r="B264" t="s">
        <v>13</v>
      </c>
      <c r="C264" t="s">
        <v>152</v>
      </c>
      <c r="D264" t="s">
        <v>146</v>
      </c>
      <c r="E264" t="s">
        <v>186</v>
      </c>
      <c r="F264" t="s">
        <v>19</v>
      </c>
      <c r="G264" t="s">
        <v>18</v>
      </c>
      <c r="H264" s="46">
        <v>7</v>
      </c>
      <c r="I264" s="46">
        <v>0</v>
      </c>
      <c r="J264" s="46">
        <v>3</v>
      </c>
      <c r="K264" s="46">
        <v>22</v>
      </c>
      <c r="L264" s="46">
        <v>22</v>
      </c>
      <c r="M264" s="48">
        <v>0.31818181818181801</v>
      </c>
    </row>
    <row r="265" spans="1:13" x14ac:dyDescent="0.35">
      <c r="A265" t="s">
        <v>185</v>
      </c>
      <c r="B265" t="s">
        <v>13</v>
      </c>
      <c r="C265" t="s">
        <v>154</v>
      </c>
      <c r="D265" t="s">
        <v>146</v>
      </c>
      <c r="E265" t="s">
        <v>186</v>
      </c>
      <c r="F265" t="s">
        <v>19</v>
      </c>
      <c r="G265" t="s">
        <v>18</v>
      </c>
      <c r="H265" s="46">
        <v>2</v>
      </c>
      <c r="I265" s="46">
        <v>0</v>
      </c>
      <c r="J265" s="46">
        <v>0</v>
      </c>
      <c r="K265" s="46">
        <v>19</v>
      </c>
      <c r="L265" s="46">
        <v>15</v>
      </c>
      <c r="M265" s="48">
        <v>0.133333333333333</v>
      </c>
    </row>
    <row r="266" spans="1:13" x14ac:dyDescent="0.35">
      <c r="A266" t="s">
        <v>185</v>
      </c>
      <c r="B266" t="s">
        <v>13</v>
      </c>
      <c r="C266" t="s">
        <v>149</v>
      </c>
      <c r="D266" t="s">
        <v>146</v>
      </c>
      <c r="E266" t="s">
        <v>186</v>
      </c>
      <c r="F266" t="s">
        <v>19</v>
      </c>
      <c r="G266" t="s">
        <v>18</v>
      </c>
      <c r="H266" s="46">
        <v>0</v>
      </c>
      <c r="I266" s="46">
        <v>0</v>
      </c>
      <c r="J266" s="46">
        <v>0</v>
      </c>
      <c r="K266" s="46">
        <v>143</v>
      </c>
      <c r="L266" s="46">
        <v>141</v>
      </c>
      <c r="M266" s="48">
        <v>0</v>
      </c>
    </row>
    <row r="267" spans="1:13" x14ac:dyDescent="0.35">
      <c r="A267" t="s">
        <v>185</v>
      </c>
      <c r="B267" t="s">
        <v>13</v>
      </c>
      <c r="C267" t="s">
        <v>155</v>
      </c>
      <c r="D267" t="s">
        <v>146</v>
      </c>
      <c r="E267" t="s">
        <v>186</v>
      </c>
      <c r="F267" t="s">
        <v>19</v>
      </c>
      <c r="G267" t="s">
        <v>18</v>
      </c>
      <c r="H267" s="46">
        <v>2</v>
      </c>
      <c r="I267" s="46">
        <v>0</v>
      </c>
      <c r="J267" s="46">
        <v>1</v>
      </c>
      <c r="K267" s="46">
        <v>110</v>
      </c>
      <c r="L267" s="46">
        <v>110</v>
      </c>
      <c r="M267" s="48">
        <v>1.8181818181818198E-2</v>
      </c>
    </row>
    <row r="268" spans="1:13" x14ac:dyDescent="0.35">
      <c r="A268" t="s">
        <v>185</v>
      </c>
      <c r="B268" t="s">
        <v>13</v>
      </c>
      <c r="C268" t="s">
        <v>156</v>
      </c>
      <c r="D268" t="s">
        <v>146</v>
      </c>
      <c r="E268" t="s">
        <v>186</v>
      </c>
      <c r="F268" t="s">
        <v>19</v>
      </c>
      <c r="G268" t="s">
        <v>18</v>
      </c>
      <c r="H268" s="46">
        <v>4</v>
      </c>
      <c r="I268" s="46">
        <v>0</v>
      </c>
      <c r="J268" s="46">
        <v>3</v>
      </c>
      <c r="K268" s="46">
        <v>31</v>
      </c>
      <c r="L268" s="46">
        <v>30</v>
      </c>
      <c r="M268" s="48">
        <v>0.133333333333333</v>
      </c>
    </row>
    <row r="269" spans="1:13" x14ac:dyDescent="0.35">
      <c r="A269" t="s">
        <v>185</v>
      </c>
      <c r="B269" t="s">
        <v>13</v>
      </c>
      <c r="C269" t="s">
        <v>158</v>
      </c>
      <c r="D269" t="s">
        <v>146</v>
      </c>
      <c r="E269" t="s">
        <v>186</v>
      </c>
      <c r="F269" t="s">
        <v>19</v>
      </c>
      <c r="G269" t="s">
        <v>18</v>
      </c>
      <c r="H269" s="46">
        <v>4</v>
      </c>
      <c r="I269" s="46">
        <v>0</v>
      </c>
      <c r="J269" s="46">
        <v>1</v>
      </c>
      <c r="K269" s="46">
        <v>523</v>
      </c>
      <c r="L269" s="46">
        <v>523</v>
      </c>
      <c r="M269" s="48">
        <v>7.64818355640535E-3</v>
      </c>
    </row>
    <row r="270" spans="1:13" x14ac:dyDescent="0.35">
      <c r="A270" t="s">
        <v>185</v>
      </c>
      <c r="B270" t="s">
        <v>13</v>
      </c>
      <c r="C270" t="s">
        <v>157</v>
      </c>
      <c r="D270" t="s">
        <v>146</v>
      </c>
      <c r="E270" t="s">
        <v>186</v>
      </c>
      <c r="F270" t="s">
        <v>19</v>
      </c>
      <c r="G270" t="s">
        <v>18</v>
      </c>
      <c r="H270" s="46">
        <v>5</v>
      </c>
      <c r="I270" s="46">
        <v>0</v>
      </c>
      <c r="J270" s="46">
        <v>0</v>
      </c>
      <c r="K270" s="46">
        <v>594</v>
      </c>
      <c r="L270" s="46">
        <v>564</v>
      </c>
      <c r="M270" s="48">
        <v>8.8652482269503605E-3</v>
      </c>
    </row>
    <row r="271" spans="1:13" x14ac:dyDescent="0.35">
      <c r="A271" t="s">
        <v>185</v>
      </c>
      <c r="B271" t="s">
        <v>13</v>
      </c>
      <c r="C271" t="s">
        <v>150</v>
      </c>
      <c r="D271" t="s">
        <v>146</v>
      </c>
      <c r="E271" t="s">
        <v>186</v>
      </c>
      <c r="F271" t="s">
        <v>19</v>
      </c>
      <c r="G271" t="s">
        <v>18</v>
      </c>
      <c r="H271" s="46">
        <v>0</v>
      </c>
      <c r="I271" s="46">
        <v>0</v>
      </c>
      <c r="J271" s="46">
        <v>0</v>
      </c>
      <c r="K271" s="46">
        <v>61</v>
      </c>
      <c r="L271" s="46">
        <v>61</v>
      </c>
      <c r="M271" s="48">
        <v>0</v>
      </c>
    </row>
    <row r="272" spans="1:13" x14ac:dyDescent="0.35">
      <c r="A272" t="s">
        <v>185</v>
      </c>
      <c r="B272" t="s">
        <v>13</v>
      </c>
      <c r="C272" t="s">
        <v>148</v>
      </c>
      <c r="D272" t="s">
        <v>146</v>
      </c>
      <c r="E272" t="s">
        <v>186</v>
      </c>
      <c r="F272" t="s">
        <v>19</v>
      </c>
      <c r="G272" t="s">
        <v>18</v>
      </c>
      <c r="H272" s="46">
        <v>5</v>
      </c>
      <c r="I272" s="46">
        <v>0</v>
      </c>
      <c r="J272" s="46">
        <v>2</v>
      </c>
      <c r="K272" s="46">
        <v>209</v>
      </c>
      <c r="L272" s="46">
        <v>205</v>
      </c>
      <c r="M272" s="48">
        <v>2.4390243902439001E-2</v>
      </c>
    </row>
    <row r="273" spans="1:13" x14ac:dyDescent="0.35">
      <c r="A273" t="s">
        <v>185</v>
      </c>
      <c r="B273" t="s">
        <v>13</v>
      </c>
      <c r="C273" t="s">
        <v>153</v>
      </c>
      <c r="D273" t="s">
        <v>146</v>
      </c>
      <c r="E273" t="s">
        <v>186</v>
      </c>
      <c r="F273" t="s">
        <v>19</v>
      </c>
      <c r="G273" t="s">
        <v>18</v>
      </c>
      <c r="H273" s="46">
        <v>0</v>
      </c>
      <c r="I273" s="46">
        <v>0</v>
      </c>
      <c r="J273" s="46">
        <v>0</v>
      </c>
      <c r="K273" s="46">
        <v>19</v>
      </c>
      <c r="L273" s="46">
        <v>19</v>
      </c>
      <c r="M273" s="48">
        <v>0</v>
      </c>
    </row>
    <row r="274" spans="1:13" x14ac:dyDescent="0.35">
      <c r="A274" t="s">
        <v>185</v>
      </c>
      <c r="B274" t="s">
        <v>13</v>
      </c>
      <c r="C274" t="s">
        <v>145</v>
      </c>
      <c r="D274" t="s">
        <v>162</v>
      </c>
      <c r="E274" t="s">
        <v>187</v>
      </c>
      <c r="F274" t="s">
        <v>21</v>
      </c>
      <c r="G274" t="s">
        <v>181</v>
      </c>
      <c r="H274" s="46">
        <v>3</v>
      </c>
      <c r="I274" s="46">
        <v>0</v>
      </c>
      <c r="J274" s="46">
        <v>0</v>
      </c>
      <c r="K274" s="46">
        <v>21</v>
      </c>
      <c r="L274" s="46">
        <v>20</v>
      </c>
      <c r="M274" s="48">
        <v>0.15</v>
      </c>
    </row>
    <row r="275" spans="1:13" x14ac:dyDescent="0.35">
      <c r="A275" t="s">
        <v>185</v>
      </c>
      <c r="B275" t="s">
        <v>13</v>
      </c>
      <c r="C275" t="s">
        <v>149</v>
      </c>
      <c r="D275" t="s">
        <v>146</v>
      </c>
      <c r="E275" t="s">
        <v>187</v>
      </c>
      <c r="F275" t="s">
        <v>19</v>
      </c>
      <c r="G275" t="s">
        <v>18</v>
      </c>
      <c r="H275" s="46">
        <v>1</v>
      </c>
      <c r="I275" s="46">
        <v>0</v>
      </c>
      <c r="J275" s="46">
        <v>0</v>
      </c>
      <c r="K275" s="46">
        <v>174</v>
      </c>
      <c r="L275" s="46">
        <v>169</v>
      </c>
      <c r="M275" s="48">
        <v>5.9171597633136102E-3</v>
      </c>
    </row>
    <row r="276" spans="1:13" x14ac:dyDescent="0.35">
      <c r="A276" t="s">
        <v>185</v>
      </c>
      <c r="B276" t="s">
        <v>13</v>
      </c>
      <c r="C276" t="s">
        <v>153</v>
      </c>
      <c r="D276" t="s">
        <v>146</v>
      </c>
      <c r="E276" t="s">
        <v>187</v>
      </c>
      <c r="F276" t="s">
        <v>19</v>
      </c>
      <c r="G276" t="s">
        <v>18</v>
      </c>
      <c r="H276" s="46">
        <v>0</v>
      </c>
      <c r="I276" s="46">
        <v>0</v>
      </c>
      <c r="J276" s="46">
        <v>0</v>
      </c>
      <c r="K276" s="46">
        <v>27</v>
      </c>
      <c r="L276" s="46">
        <v>25</v>
      </c>
      <c r="M276" s="48">
        <v>0</v>
      </c>
    </row>
    <row r="277" spans="1:13" x14ac:dyDescent="0.35">
      <c r="A277" t="s">
        <v>185</v>
      </c>
      <c r="B277" t="s">
        <v>13</v>
      </c>
      <c r="C277" t="s">
        <v>150</v>
      </c>
      <c r="D277" t="s">
        <v>146</v>
      </c>
      <c r="E277" t="s">
        <v>187</v>
      </c>
      <c r="F277" t="s">
        <v>19</v>
      </c>
      <c r="G277" t="s">
        <v>18</v>
      </c>
      <c r="H277" s="46">
        <v>0</v>
      </c>
      <c r="I277" s="46">
        <v>0</v>
      </c>
      <c r="J277" s="46">
        <v>0</v>
      </c>
      <c r="K277" s="46">
        <v>62</v>
      </c>
      <c r="L277" s="46">
        <v>61</v>
      </c>
      <c r="M277" s="48">
        <v>0</v>
      </c>
    </row>
    <row r="278" spans="1:13" x14ac:dyDescent="0.35">
      <c r="A278" t="s">
        <v>185</v>
      </c>
      <c r="B278" t="s">
        <v>13</v>
      </c>
      <c r="C278" t="s">
        <v>151</v>
      </c>
      <c r="D278" t="s">
        <v>146</v>
      </c>
      <c r="E278" t="s">
        <v>187</v>
      </c>
      <c r="F278" t="s">
        <v>19</v>
      </c>
      <c r="G278" t="s">
        <v>18</v>
      </c>
      <c r="H278" s="46">
        <v>3</v>
      </c>
      <c r="I278" s="46">
        <v>0</v>
      </c>
      <c r="J278" s="46">
        <v>0</v>
      </c>
      <c r="K278" s="46">
        <v>83</v>
      </c>
      <c r="L278" s="46">
        <v>78</v>
      </c>
      <c r="M278" s="48">
        <v>3.8461538461538498E-2</v>
      </c>
    </row>
    <row r="279" spans="1:13" x14ac:dyDescent="0.35">
      <c r="A279" t="s">
        <v>185</v>
      </c>
      <c r="B279" t="s">
        <v>13</v>
      </c>
      <c r="C279" t="s">
        <v>152</v>
      </c>
      <c r="D279" t="s">
        <v>146</v>
      </c>
      <c r="E279" t="s">
        <v>187</v>
      </c>
      <c r="F279" t="s">
        <v>19</v>
      </c>
      <c r="G279" t="s">
        <v>18</v>
      </c>
      <c r="H279" s="46">
        <v>4</v>
      </c>
      <c r="I279" s="46">
        <v>0</v>
      </c>
      <c r="J279" s="46">
        <v>2</v>
      </c>
      <c r="K279" s="46">
        <v>25</v>
      </c>
      <c r="L279" s="46">
        <v>24</v>
      </c>
      <c r="M279" s="48">
        <v>0.16666666666666699</v>
      </c>
    </row>
    <row r="280" spans="1:13" x14ac:dyDescent="0.35">
      <c r="A280" t="s">
        <v>185</v>
      </c>
      <c r="B280" t="s">
        <v>13</v>
      </c>
      <c r="C280" t="s">
        <v>154</v>
      </c>
      <c r="D280" t="s">
        <v>146</v>
      </c>
      <c r="E280" t="s">
        <v>187</v>
      </c>
      <c r="F280" t="s">
        <v>19</v>
      </c>
      <c r="G280" t="s">
        <v>18</v>
      </c>
      <c r="H280" s="46">
        <v>0</v>
      </c>
      <c r="I280" s="46">
        <v>0</v>
      </c>
      <c r="J280" s="46">
        <v>0</v>
      </c>
      <c r="K280" s="46">
        <v>25</v>
      </c>
      <c r="L280" s="46">
        <v>20</v>
      </c>
      <c r="M280" s="48">
        <v>0</v>
      </c>
    </row>
    <row r="281" spans="1:13" x14ac:dyDescent="0.35">
      <c r="A281" t="s">
        <v>185</v>
      </c>
      <c r="B281" t="s">
        <v>13</v>
      </c>
      <c r="C281" t="s">
        <v>148</v>
      </c>
      <c r="D281" t="s">
        <v>146</v>
      </c>
      <c r="E281" t="s">
        <v>187</v>
      </c>
      <c r="F281" t="s">
        <v>19</v>
      </c>
      <c r="G281" t="s">
        <v>18</v>
      </c>
      <c r="H281" s="46">
        <v>7</v>
      </c>
      <c r="I281" s="46">
        <v>0</v>
      </c>
      <c r="J281" s="46">
        <v>2</v>
      </c>
      <c r="K281" s="46">
        <v>231</v>
      </c>
      <c r="L281" s="46">
        <v>227</v>
      </c>
      <c r="M281" s="48">
        <v>3.0837004405286299E-2</v>
      </c>
    </row>
    <row r="282" spans="1:13" x14ac:dyDescent="0.35">
      <c r="A282" t="s">
        <v>185</v>
      </c>
      <c r="B282" t="s">
        <v>13</v>
      </c>
      <c r="C282" t="s">
        <v>155</v>
      </c>
      <c r="D282" t="s">
        <v>146</v>
      </c>
      <c r="E282" t="s">
        <v>187</v>
      </c>
      <c r="F282" t="s">
        <v>19</v>
      </c>
      <c r="G282" t="s">
        <v>18</v>
      </c>
      <c r="H282" s="46">
        <v>3</v>
      </c>
      <c r="I282" s="46">
        <v>0</v>
      </c>
      <c r="J282" s="46">
        <v>1</v>
      </c>
      <c r="K282" s="46">
        <v>64</v>
      </c>
      <c r="L282" s="46">
        <v>64</v>
      </c>
      <c r="M282" s="48">
        <v>4.6875E-2</v>
      </c>
    </row>
    <row r="283" spans="1:13" x14ac:dyDescent="0.35">
      <c r="A283" t="s">
        <v>185</v>
      </c>
      <c r="B283" t="s">
        <v>13</v>
      </c>
      <c r="C283" t="s">
        <v>156</v>
      </c>
      <c r="D283" t="s">
        <v>146</v>
      </c>
      <c r="E283" t="s">
        <v>187</v>
      </c>
      <c r="F283" t="s">
        <v>19</v>
      </c>
      <c r="G283" t="s">
        <v>18</v>
      </c>
      <c r="H283" s="46">
        <v>9</v>
      </c>
      <c r="I283" s="46">
        <v>0</v>
      </c>
      <c r="J283" s="46">
        <v>3</v>
      </c>
      <c r="K283" s="46">
        <v>37</v>
      </c>
      <c r="L283" s="46">
        <v>33</v>
      </c>
      <c r="M283" s="48">
        <v>0.27272727272727298</v>
      </c>
    </row>
    <row r="284" spans="1:13" x14ac:dyDescent="0.35">
      <c r="A284" t="s">
        <v>185</v>
      </c>
      <c r="B284" t="s">
        <v>13</v>
      </c>
      <c r="C284" t="s">
        <v>157</v>
      </c>
      <c r="D284" t="s">
        <v>146</v>
      </c>
      <c r="E284" t="s">
        <v>187</v>
      </c>
      <c r="F284" t="s">
        <v>19</v>
      </c>
      <c r="G284" t="s">
        <v>18</v>
      </c>
      <c r="H284" s="46">
        <v>0</v>
      </c>
      <c r="I284" s="46">
        <v>0</v>
      </c>
      <c r="J284" s="46">
        <v>0</v>
      </c>
      <c r="K284" s="46">
        <v>557</v>
      </c>
      <c r="L284" s="46">
        <v>547</v>
      </c>
      <c r="M284" s="48">
        <v>0</v>
      </c>
    </row>
    <row r="285" spans="1:13" x14ac:dyDescent="0.35">
      <c r="A285" t="s">
        <v>185</v>
      </c>
      <c r="B285" t="s">
        <v>13</v>
      </c>
      <c r="C285" t="s">
        <v>158</v>
      </c>
      <c r="D285" t="s">
        <v>146</v>
      </c>
      <c r="E285" t="s">
        <v>187</v>
      </c>
      <c r="F285" t="s">
        <v>19</v>
      </c>
      <c r="G285" t="s">
        <v>18</v>
      </c>
      <c r="H285" s="46">
        <v>2</v>
      </c>
      <c r="I285" s="46">
        <v>0</v>
      </c>
      <c r="J285" s="46">
        <v>1</v>
      </c>
      <c r="K285" s="46">
        <v>542</v>
      </c>
      <c r="L285" s="46">
        <v>542</v>
      </c>
      <c r="M285" s="48">
        <v>3.6900369003690001E-3</v>
      </c>
    </row>
    <row r="286" spans="1:13" x14ac:dyDescent="0.35">
      <c r="A286" t="s">
        <v>185</v>
      </c>
      <c r="B286" t="s">
        <v>13</v>
      </c>
      <c r="C286" t="s">
        <v>145</v>
      </c>
      <c r="D286" t="s">
        <v>188</v>
      </c>
      <c r="E286" t="s">
        <v>189</v>
      </c>
      <c r="F286" t="s">
        <v>190</v>
      </c>
      <c r="G286" t="s">
        <v>191</v>
      </c>
      <c r="H286" s="46">
        <v>0</v>
      </c>
      <c r="I286" s="46">
        <v>0</v>
      </c>
      <c r="J286" s="46">
        <v>0</v>
      </c>
      <c r="K286" s="46">
        <v>14</v>
      </c>
      <c r="L286" s="46">
        <v>13</v>
      </c>
      <c r="M286" s="48">
        <v>0</v>
      </c>
    </row>
    <row r="287" spans="1:13" x14ac:dyDescent="0.35">
      <c r="A287" t="s">
        <v>185</v>
      </c>
      <c r="B287" t="s">
        <v>13</v>
      </c>
      <c r="C287" t="s">
        <v>150</v>
      </c>
      <c r="D287" t="s">
        <v>146</v>
      </c>
      <c r="E287" t="s">
        <v>192</v>
      </c>
      <c r="F287" t="s">
        <v>16</v>
      </c>
      <c r="G287" t="s">
        <v>18</v>
      </c>
      <c r="H287" s="46">
        <v>0</v>
      </c>
      <c r="I287" s="46">
        <v>0</v>
      </c>
      <c r="J287" s="46">
        <v>0</v>
      </c>
      <c r="K287" s="46">
        <v>85</v>
      </c>
      <c r="L287" s="46">
        <v>84</v>
      </c>
      <c r="M287" s="48">
        <v>0</v>
      </c>
    </row>
    <row r="288" spans="1:13" x14ac:dyDescent="0.35">
      <c r="A288" t="s">
        <v>185</v>
      </c>
      <c r="B288" t="s">
        <v>13</v>
      </c>
      <c r="C288" t="s">
        <v>148</v>
      </c>
      <c r="D288" t="s">
        <v>146</v>
      </c>
      <c r="E288" t="s">
        <v>193</v>
      </c>
      <c r="F288" t="s">
        <v>16</v>
      </c>
      <c r="G288" t="s">
        <v>18</v>
      </c>
      <c r="H288" s="46">
        <v>14</v>
      </c>
      <c r="I288" s="46">
        <v>2</v>
      </c>
      <c r="J288" s="46">
        <v>2</v>
      </c>
      <c r="K288" s="46">
        <v>227</v>
      </c>
      <c r="L288" s="46">
        <v>224</v>
      </c>
      <c r="M288" s="48">
        <v>6.25E-2</v>
      </c>
    </row>
    <row r="289" spans="1:13" x14ac:dyDescent="0.35">
      <c r="A289" t="s">
        <v>185</v>
      </c>
      <c r="B289" t="s">
        <v>13</v>
      </c>
      <c r="C289" t="s">
        <v>149</v>
      </c>
      <c r="D289" t="s">
        <v>146</v>
      </c>
      <c r="E289" t="s">
        <v>193</v>
      </c>
      <c r="F289" t="s">
        <v>16</v>
      </c>
      <c r="G289" t="s">
        <v>18</v>
      </c>
      <c r="H289" s="46">
        <v>0</v>
      </c>
      <c r="I289" s="46">
        <v>0</v>
      </c>
      <c r="J289" s="46">
        <v>0</v>
      </c>
      <c r="K289" s="46">
        <v>154</v>
      </c>
      <c r="L289" s="46">
        <v>149</v>
      </c>
      <c r="M289" s="48">
        <v>0</v>
      </c>
    </row>
    <row r="290" spans="1:13" x14ac:dyDescent="0.35">
      <c r="A290" t="s">
        <v>185</v>
      </c>
      <c r="B290" t="s">
        <v>13</v>
      </c>
      <c r="C290" t="s">
        <v>151</v>
      </c>
      <c r="D290" t="s">
        <v>146</v>
      </c>
      <c r="E290" t="s">
        <v>193</v>
      </c>
      <c r="F290" t="s">
        <v>16</v>
      </c>
      <c r="G290" t="s">
        <v>18</v>
      </c>
      <c r="H290" s="46">
        <v>0</v>
      </c>
      <c r="I290" s="46">
        <v>0</v>
      </c>
      <c r="J290" s="46">
        <v>0</v>
      </c>
      <c r="K290" s="46">
        <v>37</v>
      </c>
      <c r="L290" s="46">
        <v>33</v>
      </c>
      <c r="M290" s="48">
        <v>0</v>
      </c>
    </row>
    <row r="291" spans="1:13" x14ac:dyDescent="0.35">
      <c r="A291" t="s">
        <v>185</v>
      </c>
      <c r="B291" t="s">
        <v>13</v>
      </c>
      <c r="C291" t="s">
        <v>152</v>
      </c>
      <c r="D291" t="s">
        <v>146</v>
      </c>
      <c r="E291" t="s">
        <v>193</v>
      </c>
      <c r="F291" t="s">
        <v>16</v>
      </c>
      <c r="G291" t="s">
        <v>18</v>
      </c>
      <c r="H291" s="46">
        <v>2</v>
      </c>
      <c r="I291" s="46">
        <v>0</v>
      </c>
      <c r="J291" s="46">
        <v>1</v>
      </c>
      <c r="K291" s="46">
        <v>14</v>
      </c>
      <c r="L291" s="46">
        <v>13</v>
      </c>
      <c r="M291" s="48">
        <v>0.15384615384615399</v>
      </c>
    </row>
    <row r="292" spans="1:13" x14ac:dyDescent="0.35">
      <c r="A292" t="s">
        <v>185</v>
      </c>
      <c r="B292" t="s">
        <v>13</v>
      </c>
      <c r="C292" t="s">
        <v>153</v>
      </c>
      <c r="D292" t="s">
        <v>146</v>
      </c>
      <c r="E292" t="s">
        <v>193</v>
      </c>
      <c r="F292" t="s">
        <v>16</v>
      </c>
      <c r="G292" t="s">
        <v>18</v>
      </c>
      <c r="H292" s="46">
        <v>1</v>
      </c>
      <c r="I292" s="46">
        <v>0</v>
      </c>
      <c r="J292" s="46">
        <v>0</v>
      </c>
      <c r="K292" s="46">
        <v>16</v>
      </c>
      <c r="L292" s="46">
        <v>16</v>
      </c>
      <c r="M292" s="48">
        <v>6.25E-2</v>
      </c>
    </row>
    <row r="293" spans="1:13" x14ac:dyDescent="0.35">
      <c r="A293" t="s">
        <v>185</v>
      </c>
      <c r="B293" t="s">
        <v>13</v>
      </c>
      <c r="C293" t="s">
        <v>154</v>
      </c>
      <c r="D293" t="s">
        <v>146</v>
      </c>
      <c r="E293" t="s">
        <v>193</v>
      </c>
      <c r="F293" t="s">
        <v>16</v>
      </c>
      <c r="G293" t="s">
        <v>18</v>
      </c>
      <c r="H293" s="46">
        <v>0</v>
      </c>
      <c r="I293" s="46">
        <v>0</v>
      </c>
      <c r="J293" s="46">
        <v>0</v>
      </c>
      <c r="K293" s="46">
        <v>20</v>
      </c>
      <c r="L293" s="46">
        <v>14</v>
      </c>
      <c r="M293" s="48">
        <v>0</v>
      </c>
    </row>
    <row r="294" spans="1:13" x14ac:dyDescent="0.35">
      <c r="A294" t="s">
        <v>185</v>
      </c>
      <c r="B294" t="s">
        <v>13</v>
      </c>
      <c r="C294" t="s">
        <v>155</v>
      </c>
      <c r="D294" t="s">
        <v>146</v>
      </c>
      <c r="E294" t="s">
        <v>193</v>
      </c>
      <c r="F294" t="s">
        <v>16</v>
      </c>
      <c r="G294" t="s">
        <v>18</v>
      </c>
      <c r="H294" s="46">
        <v>3</v>
      </c>
      <c r="I294" s="46">
        <v>0</v>
      </c>
      <c r="J294" s="46">
        <v>2</v>
      </c>
      <c r="K294" s="46">
        <v>76</v>
      </c>
      <c r="L294" s="46">
        <v>75</v>
      </c>
      <c r="M294" s="48">
        <v>0.04</v>
      </c>
    </row>
    <row r="295" spans="1:13" x14ac:dyDescent="0.35">
      <c r="A295" t="s">
        <v>185</v>
      </c>
      <c r="B295" t="s">
        <v>13</v>
      </c>
      <c r="C295" t="s">
        <v>156</v>
      </c>
      <c r="D295" t="s">
        <v>146</v>
      </c>
      <c r="E295" t="s">
        <v>193</v>
      </c>
      <c r="F295" t="s">
        <v>16</v>
      </c>
      <c r="G295" t="s">
        <v>18</v>
      </c>
      <c r="H295" s="46">
        <v>5</v>
      </c>
      <c r="I295" s="46">
        <v>0</v>
      </c>
      <c r="J295" s="46">
        <v>2</v>
      </c>
      <c r="K295" s="46">
        <v>32</v>
      </c>
      <c r="L295" s="46">
        <v>29</v>
      </c>
      <c r="M295" s="48">
        <v>0.17241379310344801</v>
      </c>
    </row>
    <row r="296" spans="1:13" x14ac:dyDescent="0.35">
      <c r="A296" t="s">
        <v>185</v>
      </c>
      <c r="B296" t="s">
        <v>13</v>
      </c>
      <c r="C296" t="s">
        <v>157</v>
      </c>
      <c r="D296" t="s">
        <v>146</v>
      </c>
      <c r="E296" t="s">
        <v>193</v>
      </c>
      <c r="F296" t="s">
        <v>16</v>
      </c>
      <c r="G296" t="s">
        <v>18</v>
      </c>
      <c r="H296" s="46">
        <v>4</v>
      </c>
      <c r="I296" s="46">
        <v>0</v>
      </c>
      <c r="J296" s="46">
        <v>0</v>
      </c>
      <c r="K296" s="46">
        <v>546</v>
      </c>
      <c r="L296" s="46">
        <v>522</v>
      </c>
      <c r="M296" s="48">
        <v>7.6628352490421504E-3</v>
      </c>
    </row>
    <row r="297" spans="1:13" x14ac:dyDescent="0.35">
      <c r="A297" t="s">
        <v>185</v>
      </c>
      <c r="B297" t="s">
        <v>13</v>
      </c>
      <c r="C297" t="s">
        <v>158</v>
      </c>
      <c r="D297" t="s">
        <v>146</v>
      </c>
      <c r="E297" t="s">
        <v>193</v>
      </c>
      <c r="F297" t="s">
        <v>16</v>
      </c>
      <c r="G297" t="s">
        <v>18</v>
      </c>
      <c r="H297" s="46">
        <v>10</v>
      </c>
      <c r="I297" s="46">
        <v>0</v>
      </c>
      <c r="J297" s="46">
        <v>1</v>
      </c>
      <c r="K297" s="46">
        <v>569</v>
      </c>
      <c r="L297" s="46">
        <v>569</v>
      </c>
      <c r="M297" s="48">
        <v>1.75746924428823E-2</v>
      </c>
    </row>
    <row r="298" spans="1:13" x14ac:dyDescent="0.35">
      <c r="A298" t="s">
        <v>185</v>
      </c>
      <c r="B298" t="s">
        <v>13</v>
      </c>
      <c r="C298" t="s">
        <v>148</v>
      </c>
      <c r="D298" t="s">
        <v>146</v>
      </c>
      <c r="E298" t="s">
        <v>194</v>
      </c>
      <c r="F298" t="s">
        <v>16</v>
      </c>
      <c r="G298" t="s">
        <v>17</v>
      </c>
      <c r="H298" s="46">
        <v>8</v>
      </c>
      <c r="I298" s="46">
        <v>0</v>
      </c>
      <c r="J298" s="46">
        <v>2</v>
      </c>
      <c r="K298" s="46">
        <v>494</v>
      </c>
      <c r="L298" s="46">
        <v>484</v>
      </c>
      <c r="M298" s="48">
        <v>1.6528925619834701E-2</v>
      </c>
    </row>
    <row r="299" spans="1:13" x14ac:dyDescent="0.35">
      <c r="A299" t="s">
        <v>185</v>
      </c>
      <c r="B299" t="s">
        <v>13</v>
      </c>
      <c r="C299" t="s">
        <v>157</v>
      </c>
      <c r="D299" t="s">
        <v>146</v>
      </c>
      <c r="E299" t="s">
        <v>194</v>
      </c>
      <c r="F299" t="s">
        <v>16</v>
      </c>
      <c r="G299" t="s">
        <v>17</v>
      </c>
      <c r="H299" s="46">
        <v>3</v>
      </c>
      <c r="I299" s="46">
        <v>0</v>
      </c>
      <c r="J299" s="46">
        <v>0</v>
      </c>
      <c r="K299" s="46">
        <v>781</v>
      </c>
      <c r="L299" s="46">
        <v>781</v>
      </c>
      <c r="M299" s="48">
        <v>3.8412291933418701E-3</v>
      </c>
    </row>
    <row r="300" spans="1:13" x14ac:dyDescent="0.35">
      <c r="A300" t="s">
        <v>185</v>
      </c>
      <c r="B300" t="s">
        <v>13</v>
      </c>
      <c r="C300" t="s">
        <v>153</v>
      </c>
      <c r="D300" t="s">
        <v>146</v>
      </c>
      <c r="E300" t="s">
        <v>194</v>
      </c>
      <c r="F300" t="s">
        <v>16</v>
      </c>
      <c r="G300" t="s">
        <v>17</v>
      </c>
      <c r="H300" s="46">
        <v>0</v>
      </c>
      <c r="I300" s="46">
        <v>0</v>
      </c>
      <c r="J300" s="46">
        <v>0</v>
      </c>
      <c r="K300" s="46">
        <v>33</v>
      </c>
      <c r="L300" s="46">
        <v>33</v>
      </c>
      <c r="M300" s="48">
        <v>0</v>
      </c>
    </row>
    <row r="301" spans="1:13" x14ac:dyDescent="0.35">
      <c r="A301" t="s">
        <v>185</v>
      </c>
      <c r="B301" t="s">
        <v>13</v>
      </c>
      <c r="C301" t="s">
        <v>149</v>
      </c>
      <c r="D301" t="s">
        <v>146</v>
      </c>
      <c r="E301" t="s">
        <v>194</v>
      </c>
      <c r="F301" t="s">
        <v>16</v>
      </c>
      <c r="G301" t="s">
        <v>17</v>
      </c>
      <c r="H301" s="46">
        <v>6</v>
      </c>
      <c r="I301" s="46">
        <v>0</v>
      </c>
      <c r="J301" s="46">
        <v>0</v>
      </c>
      <c r="K301" s="46">
        <v>397</v>
      </c>
      <c r="L301" s="46">
        <v>384</v>
      </c>
      <c r="M301" s="48">
        <v>1.5625E-2</v>
      </c>
    </row>
    <row r="302" spans="1:13" x14ac:dyDescent="0.35">
      <c r="A302" t="s">
        <v>185</v>
      </c>
      <c r="B302" t="s">
        <v>13</v>
      </c>
      <c r="C302" t="s">
        <v>154</v>
      </c>
      <c r="D302" t="s">
        <v>146</v>
      </c>
      <c r="E302" t="s">
        <v>194</v>
      </c>
      <c r="F302" t="s">
        <v>16</v>
      </c>
      <c r="G302" t="s">
        <v>17</v>
      </c>
      <c r="H302" s="46">
        <v>0</v>
      </c>
      <c r="I302" s="46">
        <v>0</v>
      </c>
      <c r="J302" s="46">
        <v>0</v>
      </c>
      <c r="K302" s="46">
        <v>29</v>
      </c>
      <c r="L302" s="46">
        <v>22</v>
      </c>
      <c r="M302" s="48">
        <v>0</v>
      </c>
    </row>
    <row r="303" spans="1:13" x14ac:dyDescent="0.35">
      <c r="A303" t="s">
        <v>185</v>
      </c>
      <c r="B303" t="s">
        <v>13</v>
      </c>
      <c r="C303" t="s">
        <v>151</v>
      </c>
      <c r="D303" t="s">
        <v>146</v>
      </c>
      <c r="E303" t="s">
        <v>194</v>
      </c>
      <c r="F303" t="s">
        <v>16</v>
      </c>
      <c r="G303" t="s">
        <v>17</v>
      </c>
      <c r="H303" s="46">
        <v>2</v>
      </c>
      <c r="I303" s="46">
        <v>0</v>
      </c>
      <c r="J303" s="46">
        <v>0</v>
      </c>
      <c r="K303" s="46">
        <v>46</v>
      </c>
      <c r="L303" s="46">
        <v>42</v>
      </c>
      <c r="M303" s="48">
        <v>4.7619047619047603E-2</v>
      </c>
    </row>
    <row r="304" spans="1:13" x14ac:dyDescent="0.35">
      <c r="A304" t="s">
        <v>185</v>
      </c>
      <c r="B304" t="s">
        <v>13</v>
      </c>
      <c r="C304" t="s">
        <v>150</v>
      </c>
      <c r="D304" t="s">
        <v>146</v>
      </c>
      <c r="E304" t="s">
        <v>194</v>
      </c>
      <c r="F304" t="s">
        <v>16</v>
      </c>
      <c r="G304" t="s">
        <v>17</v>
      </c>
      <c r="H304" s="46">
        <v>0</v>
      </c>
      <c r="I304" s="46">
        <v>0</v>
      </c>
      <c r="J304" s="46">
        <v>0</v>
      </c>
      <c r="K304" s="46">
        <v>126</v>
      </c>
      <c r="L304" s="46">
        <v>125</v>
      </c>
      <c r="M304" s="48">
        <v>0</v>
      </c>
    </row>
    <row r="305" spans="1:13" x14ac:dyDescent="0.35">
      <c r="A305" t="s">
        <v>185</v>
      </c>
      <c r="B305" t="s">
        <v>13</v>
      </c>
      <c r="C305" t="s">
        <v>158</v>
      </c>
      <c r="D305" t="s">
        <v>146</v>
      </c>
      <c r="E305" t="s">
        <v>194</v>
      </c>
      <c r="F305" t="s">
        <v>16</v>
      </c>
      <c r="G305" t="s">
        <v>17</v>
      </c>
      <c r="H305" s="46">
        <v>7</v>
      </c>
      <c r="I305" s="46">
        <v>0</v>
      </c>
      <c r="J305" s="46">
        <v>3</v>
      </c>
      <c r="K305" s="46">
        <v>1069</v>
      </c>
      <c r="L305" s="46">
        <v>1066</v>
      </c>
      <c r="M305" s="48">
        <v>6.5666041275797404E-3</v>
      </c>
    </row>
    <row r="306" spans="1:13" x14ac:dyDescent="0.35">
      <c r="A306" t="s">
        <v>185</v>
      </c>
      <c r="B306" t="s">
        <v>13</v>
      </c>
      <c r="C306" t="s">
        <v>152</v>
      </c>
      <c r="D306" t="s">
        <v>146</v>
      </c>
      <c r="E306" t="s">
        <v>194</v>
      </c>
      <c r="F306" t="s">
        <v>16</v>
      </c>
      <c r="G306" t="s">
        <v>17</v>
      </c>
      <c r="H306" s="46">
        <v>1</v>
      </c>
      <c r="I306" s="46">
        <v>0</v>
      </c>
      <c r="J306" s="46">
        <v>1</v>
      </c>
      <c r="K306" s="46">
        <v>30</v>
      </c>
      <c r="L306" s="46">
        <v>29</v>
      </c>
      <c r="M306" s="48">
        <v>3.4482758620689703E-2</v>
      </c>
    </row>
    <row r="307" spans="1:13" x14ac:dyDescent="0.35">
      <c r="A307" t="s">
        <v>185</v>
      </c>
      <c r="B307" t="s">
        <v>13</v>
      </c>
      <c r="C307" t="s">
        <v>156</v>
      </c>
      <c r="D307" t="s">
        <v>146</v>
      </c>
      <c r="E307" t="s">
        <v>194</v>
      </c>
      <c r="F307" t="s">
        <v>16</v>
      </c>
      <c r="G307" t="s">
        <v>17</v>
      </c>
      <c r="H307" s="46">
        <v>3</v>
      </c>
      <c r="I307" s="46">
        <v>0</v>
      </c>
      <c r="J307" s="46">
        <v>1</v>
      </c>
      <c r="K307" s="46">
        <v>48</v>
      </c>
      <c r="L307" s="46">
        <v>43</v>
      </c>
      <c r="M307" s="48">
        <v>6.9767441860465101E-2</v>
      </c>
    </row>
    <row r="308" spans="1:13" x14ac:dyDescent="0.35">
      <c r="A308" t="s">
        <v>185</v>
      </c>
      <c r="B308" t="s">
        <v>13</v>
      </c>
      <c r="C308" t="s">
        <v>155</v>
      </c>
      <c r="D308" t="s">
        <v>146</v>
      </c>
      <c r="E308" t="s">
        <v>194</v>
      </c>
      <c r="F308" t="s">
        <v>16</v>
      </c>
      <c r="G308" t="s">
        <v>17</v>
      </c>
      <c r="H308" s="46">
        <v>2</v>
      </c>
      <c r="I308" s="46">
        <v>0</v>
      </c>
      <c r="J308" s="46">
        <v>1</v>
      </c>
      <c r="K308" s="46">
        <v>200</v>
      </c>
      <c r="L308" s="46">
        <v>200</v>
      </c>
      <c r="M308" s="48">
        <v>0.01</v>
      </c>
    </row>
    <row r="309" spans="1:13" x14ac:dyDescent="0.35">
      <c r="A309" t="s">
        <v>185</v>
      </c>
      <c r="B309" t="s">
        <v>13</v>
      </c>
      <c r="C309" t="s">
        <v>149</v>
      </c>
      <c r="D309" t="s">
        <v>146</v>
      </c>
      <c r="E309" t="s">
        <v>195</v>
      </c>
      <c r="F309" t="s">
        <v>16</v>
      </c>
      <c r="G309" t="s">
        <v>17</v>
      </c>
      <c r="H309" s="46">
        <v>4</v>
      </c>
      <c r="I309" s="46">
        <v>0</v>
      </c>
      <c r="J309" s="46">
        <v>0</v>
      </c>
      <c r="K309" s="46">
        <v>311</v>
      </c>
      <c r="L309" s="46">
        <v>303</v>
      </c>
      <c r="M309" s="48">
        <v>1.32013201320132E-2</v>
      </c>
    </row>
    <row r="310" spans="1:13" x14ac:dyDescent="0.35">
      <c r="A310" t="s">
        <v>185</v>
      </c>
      <c r="B310" t="s">
        <v>13</v>
      </c>
      <c r="C310" t="s">
        <v>150</v>
      </c>
      <c r="D310" t="s">
        <v>146</v>
      </c>
      <c r="E310" t="s">
        <v>195</v>
      </c>
      <c r="F310" t="s">
        <v>16</v>
      </c>
      <c r="G310" t="s">
        <v>17</v>
      </c>
      <c r="H310" s="46">
        <v>1</v>
      </c>
      <c r="I310" s="46">
        <v>0</v>
      </c>
      <c r="J310" s="46">
        <v>0</v>
      </c>
      <c r="K310" s="46">
        <v>62</v>
      </c>
      <c r="L310" s="46">
        <v>61</v>
      </c>
      <c r="M310" s="48">
        <v>1.63934426229508E-2</v>
      </c>
    </row>
    <row r="311" spans="1:13" x14ac:dyDescent="0.35">
      <c r="A311" t="s">
        <v>185</v>
      </c>
      <c r="B311" t="s">
        <v>13</v>
      </c>
      <c r="C311" t="s">
        <v>151</v>
      </c>
      <c r="D311" t="s">
        <v>146</v>
      </c>
      <c r="E311" t="s">
        <v>195</v>
      </c>
      <c r="F311" t="s">
        <v>16</v>
      </c>
      <c r="G311" t="s">
        <v>17</v>
      </c>
      <c r="H311" s="46">
        <v>176204</v>
      </c>
      <c r="I311" s="46">
        <v>0</v>
      </c>
      <c r="J311" s="46">
        <v>12</v>
      </c>
      <c r="K311" s="46">
        <v>673826</v>
      </c>
      <c r="L311" s="46">
        <v>661438</v>
      </c>
      <c r="M311" s="48">
        <v>0.26639533864096099</v>
      </c>
    </row>
    <row r="312" spans="1:13" x14ac:dyDescent="0.35">
      <c r="A312" t="s">
        <v>185</v>
      </c>
      <c r="B312" t="s">
        <v>13</v>
      </c>
      <c r="C312" t="s">
        <v>152</v>
      </c>
      <c r="D312" t="s">
        <v>146</v>
      </c>
      <c r="E312" t="s">
        <v>195</v>
      </c>
      <c r="F312" t="s">
        <v>16</v>
      </c>
      <c r="G312" t="s">
        <v>17</v>
      </c>
      <c r="H312" s="46">
        <v>5</v>
      </c>
      <c r="I312" s="46">
        <v>0</v>
      </c>
      <c r="J312" s="46">
        <v>2</v>
      </c>
      <c r="K312" s="46">
        <v>18</v>
      </c>
      <c r="L312" s="46">
        <v>17</v>
      </c>
      <c r="M312" s="48">
        <v>0.29411764705882398</v>
      </c>
    </row>
    <row r="313" spans="1:13" x14ac:dyDescent="0.35">
      <c r="A313" t="s">
        <v>185</v>
      </c>
      <c r="B313" t="s">
        <v>13</v>
      </c>
      <c r="C313" t="s">
        <v>153</v>
      </c>
      <c r="D313" t="s">
        <v>146</v>
      </c>
      <c r="E313" t="s">
        <v>195</v>
      </c>
      <c r="F313" t="s">
        <v>16</v>
      </c>
      <c r="G313" t="s">
        <v>17</v>
      </c>
      <c r="H313" s="46">
        <v>310752</v>
      </c>
      <c r="I313" s="46">
        <v>0</v>
      </c>
      <c r="J313" s="46">
        <v>3</v>
      </c>
      <c r="K313" s="46">
        <v>781817</v>
      </c>
      <c r="L313" s="46">
        <v>781817</v>
      </c>
      <c r="M313" s="48">
        <v>0.39747408920501898</v>
      </c>
    </row>
    <row r="314" spans="1:13" x14ac:dyDescent="0.35">
      <c r="A314" t="s">
        <v>185</v>
      </c>
      <c r="B314" t="s">
        <v>13</v>
      </c>
      <c r="C314" t="s">
        <v>154</v>
      </c>
      <c r="D314" t="s">
        <v>146</v>
      </c>
      <c r="E314" t="s">
        <v>195</v>
      </c>
      <c r="F314" t="s">
        <v>16</v>
      </c>
      <c r="G314" t="s">
        <v>17</v>
      </c>
      <c r="H314" s="46">
        <v>76171</v>
      </c>
      <c r="I314" s="46">
        <v>0</v>
      </c>
      <c r="J314" s="46">
        <v>5</v>
      </c>
      <c r="K314" s="46">
        <v>361399</v>
      </c>
      <c r="L314" s="46">
        <v>361399</v>
      </c>
      <c r="M314" s="48">
        <v>0.21076704694810999</v>
      </c>
    </row>
    <row r="315" spans="1:13" x14ac:dyDescent="0.35">
      <c r="A315" t="s">
        <v>185</v>
      </c>
      <c r="B315" t="s">
        <v>13</v>
      </c>
      <c r="C315" t="s">
        <v>148</v>
      </c>
      <c r="D315" t="s">
        <v>146</v>
      </c>
      <c r="E315" t="s">
        <v>195</v>
      </c>
      <c r="F315" t="s">
        <v>16</v>
      </c>
      <c r="G315" t="s">
        <v>17</v>
      </c>
      <c r="H315" s="46">
        <v>15</v>
      </c>
      <c r="I315" s="46">
        <v>0</v>
      </c>
      <c r="J315" s="46">
        <v>3</v>
      </c>
      <c r="K315" s="46">
        <v>312</v>
      </c>
      <c r="L315" s="46">
        <v>299</v>
      </c>
      <c r="M315" s="48">
        <v>5.0167224080267601E-2</v>
      </c>
    </row>
    <row r="316" spans="1:13" x14ac:dyDescent="0.35">
      <c r="A316" t="s">
        <v>185</v>
      </c>
      <c r="B316" t="s">
        <v>13</v>
      </c>
      <c r="C316" t="s">
        <v>155</v>
      </c>
      <c r="D316" t="s">
        <v>146</v>
      </c>
      <c r="E316" t="s">
        <v>195</v>
      </c>
      <c r="F316" t="s">
        <v>16</v>
      </c>
      <c r="G316" t="s">
        <v>17</v>
      </c>
      <c r="H316" s="46">
        <v>0</v>
      </c>
      <c r="I316" s="46">
        <v>0</v>
      </c>
      <c r="J316" s="46">
        <v>0</v>
      </c>
      <c r="K316" s="46">
        <v>64</v>
      </c>
      <c r="L316" s="46">
        <v>64</v>
      </c>
      <c r="M316" s="48">
        <v>0</v>
      </c>
    </row>
    <row r="317" spans="1:13" x14ac:dyDescent="0.35">
      <c r="A317" t="s">
        <v>185</v>
      </c>
      <c r="B317" t="s">
        <v>13</v>
      </c>
      <c r="C317" t="s">
        <v>156</v>
      </c>
      <c r="D317" t="s">
        <v>146</v>
      </c>
      <c r="E317" t="s">
        <v>195</v>
      </c>
      <c r="F317" t="s">
        <v>16</v>
      </c>
      <c r="G317" t="s">
        <v>17</v>
      </c>
      <c r="H317" s="46">
        <v>22169</v>
      </c>
      <c r="I317" s="46">
        <v>0</v>
      </c>
      <c r="J317" s="46">
        <v>1</v>
      </c>
      <c r="K317" s="46">
        <v>164465</v>
      </c>
      <c r="L317" s="46">
        <v>163974</v>
      </c>
      <c r="M317" s="48">
        <v>0.13519826313927799</v>
      </c>
    </row>
    <row r="318" spans="1:13" x14ac:dyDescent="0.35">
      <c r="A318" t="s">
        <v>185</v>
      </c>
      <c r="B318" t="s">
        <v>13</v>
      </c>
      <c r="C318" t="s">
        <v>157</v>
      </c>
      <c r="D318" t="s">
        <v>146</v>
      </c>
      <c r="E318" t="s">
        <v>195</v>
      </c>
      <c r="F318" t="s">
        <v>16</v>
      </c>
      <c r="G318" t="s">
        <v>17</v>
      </c>
      <c r="H318" s="46">
        <v>3</v>
      </c>
      <c r="I318" s="46">
        <v>0</v>
      </c>
      <c r="J318" s="46">
        <v>0</v>
      </c>
      <c r="K318" s="46">
        <v>629</v>
      </c>
      <c r="L318" s="46">
        <v>607</v>
      </c>
      <c r="M318" s="48">
        <v>4.9423393739703499E-3</v>
      </c>
    </row>
    <row r="319" spans="1:13" x14ac:dyDescent="0.35">
      <c r="A319" t="s">
        <v>185</v>
      </c>
      <c r="B319" t="s">
        <v>13</v>
      </c>
      <c r="C319" t="s">
        <v>158</v>
      </c>
      <c r="D319" t="s">
        <v>146</v>
      </c>
      <c r="E319" t="s">
        <v>195</v>
      </c>
      <c r="F319" t="s">
        <v>16</v>
      </c>
      <c r="G319" t="s">
        <v>17</v>
      </c>
      <c r="H319" s="46">
        <v>9</v>
      </c>
      <c r="I319" s="46">
        <v>0</v>
      </c>
      <c r="J319" s="46">
        <v>2</v>
      </c>
      <c r="K319" s="46">
        <v>667</v>
      </c>
      <c r="L319" s="46">
        <v>658</v>
      </c>
      <c r="M319" s="48">
        <v>1.3677811550152E-2</v>
      </c>
    </row>
    <row r="320" spans="1:13" x14ac:dyDescent="0.35">
      <c r="A320" t="s">
        <v>185</v>
      </c>
      <c r="B320" t="s">
        <v>13</v>
      </c>
      <c r="C320" t="s">
        <v>149</v>
      </c>
      <c r="D320" t="s">
        <v>146</v>
      </c>
      <c r="E320" t="s">
        <v>196</v>
      </c>
      <c r="F320" t="s">
        <v>16</v>
      </c>
      <c r="G320" t="s">
        <v>17</v>
      </c>
      <c r="H320" s="46">
        <v>0</v>
      </c>
      <c r="I320" s="46">
        <v>0</v>
      </c>
      <c r="J320" s="46">
        <v>0</v>
      </c>
      <c r="K320" s="46">
        <v>221</v>
      </c>
      <c r="L320" s="46">
        <v>212</v>
      </c>
      <c r="M320" s="48">
        <v>0</v>
      </c>
    </row>
    <row r="321" spans="1:13" x14ac:dyDescent="0.35">
      <c r="A321" t="s">
        <v>185</v>
      </c>
      <c r="B321" t="s">
        <v>13</v>
      </c>
      <c r="C321" t="s">
        <v>150</v>
      </c>
      <c r="D321" t="s">
        <v>146</v>
      </c>
      <c r="E321" t="s">
        <v>196</v>
      </c>
      <c r="F321" t="s">
        <v>16</v>
      </c>
      <c r="G321" t="s">
        <v>17</v>
      </c>
      <c r="H321" s="46">
        <v>4</v>
      </c>
      <c r="I321" s="46">
        <v>0</v>
      </c>
      <c r="J321" s="46">
        <v>0</v>
      </c>
      <c r="K321" s="46">
        <v>70</v>
      </c>
      <c r="L321" s="46">
        <v>70</v>
      </c>
      <c r="M321" s="48">
        <v>5.7142857142857099E-2</v>
      </c>
    </row>
    <row r="322" spans="1:13" x14ac:dyDescent="0.35">
      <c r="A322" t="s">
        <v>185</v>
      </c>
      <c r="B322" t="s">
        <v>13</v>
      </c>
      <c r="C322" t="s">
        <v>152</v>
      </c>
      <c r="D322" t="s">
        <v>146</v>
      </c>
      <c r="E322" t="s">
        <v>196</v>
      </c>
      <c r="F322" t="s">
        <v>16</v>
      </c>
      <c r="G322" t="s">
        <v>17</v>
      </c>
      <c r="H322" s="46">
        <v>5</v>
      </c>
      <c r="I322" s="46">
        <v>0</v>
      </c>
      <c r="J322" s="46">
        <v>3</v>
      </c>
      <c r="K322" s="46">
        <v>32</v>
      </c>
      <c r="L322" s="46">
        <v>30</v>
      </c>
      <c r="M322" s="48">
        <v>0.16666666666666699</v>
      </c>
    </row>
    <row r="323" spans="1:13" x14ac:dyDescent="0.35">
      <c r="A323" t="s">
        <v>185</v>
      </c>
      <c r="B323" t="s">
        <v>13</v>
      </c>
      <c r="C323" t="s">
        <v>148</v>
      </c>
      <c r="D323" t="s">
        <v>146</v>
      </c>
      <c r="E323" t="s">
        <v>196</v>
      </c>
      <c r="F323" t="s">
        <v>16</v>
      </c>
      <c r="G323" t="s">
        <v>17</v>
      </c>
      <c r="H323" s="46">
        <v>16</v>
      </c>
      <c r="I323" s="46">
        <v>0</v>
      </c>
      <c r="J323" s="46">
        <v>3</v>
      </c>
      <c r="K323" s="46">
        <v>488</v>
      </c>
      <c r="L323" s="46">
        <v>459</v>
      </c>
      <c r="M323" s="48">
        <v>3.4858387799564301E-2</v>
      </c>
    </row>
    <row r="324" spans="1:13" x14ac:dyDescent="0.35">
      <c r="A324" t="s">
        <v>185</v>
      </c>
      <c r="B324" t="s">
        <v>13</v>
      </c>
      <c r="C324" t="s">
        <v>155</v>
      </c>
      <c r="D324" t="s">
        <v>146</v>
      </c>
      <c r="E324" t="s">
        <v>196</v>
      </c>
      <c r="F324" t="s">
        <v>16</v>
      </c>
      <c r="G324" t="s">
        <v>17</v>
      </c>
      <c r="H324" s="46">
        <v>1</v>
      </c>
      <c r="I324" s="46">
        <v>0</v>
      </c>
      <c r="J324" s="46">
        <v>1</v>
      </c>
      <c r="K324" s="46">
        <v>180</v>
      </c>
      <c r="L324" s="46">
        <v>180</v>
      </c>
      <c r="M324" s="48">
        <v>5.5555555555555601E-3</v>
      </c>
    </row>
    <row r="325" spans="1:13" x14ac:dyDescent="0.35">
      <c r="A325" t="s">
        <v>185</v>
      </c>
      <c r="B325" t="s">
        <v>13</v>
      </c>
      <c r="C325" t="s">
        <v>157</v>
      </c>
      <c r="D325" t="s">
        <v>146</v>
      </c>
      <c r="E325" t="s">
        <v>196</v>
      </c>
      <c r="F325" t="s">
        <v>16</v>
      </c>
      <c r="G325" t="s">
        <v>17</v>
      </c>
      <c r="H325" s="46">
        <v>6</v>
      </c>
      <c r="I325" s="46">
        <v>0</v>
      </c>
      <c r="J325" s="46">
        <v>0</v>
      </c>
      <c r="K325" s="46">
        <v>726</v>
      </c>
      <c r="L325" s="46">
        <v>713</v>
      </c>
      <c r="M325" s="48">
        <v>8.4151472650771404E-3</v>
      </c>
    </row>
    <row r="326" spans="1:13" x14ac:dyDescent="0.35">
      <c r="A326" t="s">
        <v>185</v>
      </c>
      <c r="B326" t="s">
        <v>13</v>
      </c>
      <c r="C326" t="s">
        <v>158</v>
      </c>
      <c r="D326" t="s">
        <v>146</v>
      </c>
      <c r="E326" t="s">
        <v>196</v>
      </c>
      <c r="F326" t="s">
        <v>16</v>
      </c>
      <c r="G326" t="s">
        <v>17</v>
      </c>
      <c r="H326" s="46">
        <v>11</v>
      </c>
      <c r="I326" s="46">
        <v>0</v>
      </c>
      <c r="J326" s="46">
        <v>4</v>
      </c>
      <c r="K326" s="46">
        <v>1009</v>
      </c>
      <c r="L326" s="46">
        <v>1003</v>
      </c>
      <c r="M326" s="48">
        <v>1.09670987038883E-2</v>
      </c>
    </row>
    <row r="327" spans="1:13" x14ac:dyDescent="0.35">
      <c r="A327" t="s">
        <v>185</v>
      </c>
      <c r="B327" t="s">
        <v>36</v>
      </c>
      <c r="C327" t="s">
        <v>151</v>
      </c>
      <c r="D327" t="s">
        <v>146</v>
      </c>
      <c r="E327" t="s">
        <v>186</v>
      </c>
      <c r="F327" t="s">
        <v>19</v>
      </c>
      <c r="G327" t="s">
        <v>18</v>
      </c>
      <c r="H327" s="46">
        <v>1</v>
      </c>
      <c r="I327" s="46">
        <v>1</v>
      </c>
      <c r="J327" s="46">
        <v>0</v>
      </c>
      <c r="K327" s="46">
        <v>14</v>
      </c>
      <c r="L327" s="46">
        <v>14</v>
      </c>
      <c r="M327" s="48">
        <v>7.1428571428571397E-2</v>
      </c>
    </row>
    <row r="328" spans="1:13" x14ac:dyDescent="0.35">
      <c r="A328" t="s">
        <v>185</v>
      </c>
      <c r="B328" t="s">
        <v>36</v>
      </c>
      <c r="C328" t="s">
        <v>152</v>
      </c>
      <c r="D328" t="s">
        <v>146</v>
      </c>
      <c r="E328" t="s">
        <v>186</v>
      </c>
      <c r="F328" t="s">
        <v>19</v>
      </c>
      <c r="G328" t="s">
        <v>18</v>
      </c>
      <c r="H328" s="46">
        <v>9</v>
      </c>
      <c r="I328" s="46">
        <v>9</v>
      </c>
      <c r="J328" s="46">
        <v>0</v>
      </c>
      <c r="K328" s="46">
        <v>56</v>
      </c>
      <c r="L328" s="46">
        <v>48</v>
      </c>
      <c r="M328" s="48">
        <v>0.1875</v>
      </c>
    </row>
    <row r="329" spans="1:13" x14ac:dyDescent="0.35">
      <c r="A329" t="s">
        <v>185</v>
      </c>
      <c r="B329" t="s">
        <v>36</v>
      </c>
      <c r="C329" t="s">
        <v>154</v>
      </c>
      <c r="D329" t="s">
        <v>146</v>
      </c>
      <c r="E329" t="s">
        <v>186</v>
      </c>
      <c r="F329" t="s">
        <v>19</v>
      </c>
      <c r="G329" t="s">
        <v>18</v>
      </c>
      <c r="H329" s="46">
        <v>1</v>
      </c>
      <c r="I329" s="46">
        <v>1</v>
      </c>
      <c r="J329" s="46">
        <v>0</v>
      </c>
      <c r="K329" s="46">
        <v>16</v>
      </c>
      <c r="L329" s="46">
        <v>15</v>
      </c>
      <c r="M329" s="48">
        <v>6.6666666666666693E-2</v>
      </c>
    </row>
    <row r="330" spans="1:13" x14ac:dyDescent="0.35">
      <c r="A330" t="s">
        <v>185</v>
      </c>
      <c r="B330" t="s">
        <v>36</v>
      </c>
      <c r="C330" t="s">
        <v>155</v>
      </c>
      <c r="D330" t="s">
        <v>146</v>
      </c>
      <c r="E330" t="s">
        <v>186</v>
      </c>
      <c r="F330" t="s">
        <v>19</v>
      </c>
      <c r="G330" t="s">
        <v>18</v>
      </c>
      <c r="H330" s="46">
        <v>2</v>
      </c>
      <c r="I330" s="46">
        <v>2</v>
      </c>
      <c r="J330" s="46">
        <v>0</v>
      </c>
      <c r="K330" s="46">
        <v>7</v>
      </c>
      <c r="L330" s="46">
        <v>7</v>
      </c>
      <c r="M330" s="48">
        <v>0.28571428571428598</v>
      </c>
    </row>
    <row r="331" spans="1:13" x14ac:dyDescent="0.35">
      <c r="A331" t="s">
        <v>185</v>
      </c>
      <c r="B331" t="s">
        <v>36</v>
      </c>
      <c r="C331" t="s">
        <v>156</v>
      </c>
      <c r="D331" t="s">
        <v>146</v>
      </c>
      <c r="E331" t="s">
        <v>186</v>
      </c>
      <c r="F331" t="s">
        <v>19</v>
      </c>
      <c r="G331" t="s">
        <v>18</v>
      </c>
      <c r="H331" s="46">
        <v>2</v>
      </c>
      <c r="I331" s="46">
        <v>2</v>
      </c>
      <c r="J331" s="46">
        <v>0</v>
      </c>
      <c r="K331" s="46">
        <v>13</v>
      </c>
      <c r="L331" s="46">
        <v>13</v>
      </c>
      <c r="M331" s="48">
        <v>0.15384615384615399</v>
      </c>
    </row>
    <row r="332" spans="1:13" x14ac:dyDescent="0.35">
      <c r="A332" t="s">
        <v>185</v>
      </c>
      <c r="B332" t="s">
        <v>36</v>
      </c>
      <c r="C332" t="s">
        <v>158</v>
      </c>
      <c r="D332" t="s">
        <v>146</v>
      </c>
      <c r="E332" t="s">
        <v>186</v>
      </c>
      <c r="F332" t="s">
        <v>19</v>
      </c>
      <c r="G332" t="s">
        <v>18</v>
      </c>
      <c r="H332" s="46">
        <v>4</v>
      </c>
      <c r="I332" s="46">
        <v>4</v>
      </c>
      <c r="J332" s="46">
        <v>0</v>
      </c>
      <c r="K332" s="46">
        <v>48</v>
      </c>
      <c r="L332" s="46">
        <v>48</v>
      </c>
      <c r="M332" s="48">
        <v>8.3333333333333301E-2</v>
      </c>
    </row>
    <row r="333" spans="1:13" x14ac:dyDescent="0.35">
      <c r="A333" t="s">
        <v>185</v>
      </c>
      <c r="B333" t="s">
        <v>36</v>
      </c>
      <c r="C333" t="s">
        <v>157</v>
      </c>
      <c r="D333" t="s">
        <v>146</v>
      </c>
      <c r="E333" t="s">
        <v>186</v>
      </c>
      <c r="F333" t="s">
        <v>19</v>
      </c>
      <c r="G333" t="s">
        <v>18</v>
      </c>
      <c r="H333" s="46">
        <v>1</v>
      </c>
      <c r="I333" s="46">
        <v>1</v>
      </c>
      <c r="J333" s="46">
        <v>0</v>
      </c>
      <c r="K333" s="46">
        <v>11</v>
      </c>
      <c r="L333" s="46">
        <v>10</v>
      </c>
      <c r="M333" s="48">
        <v>0.1</v>
      </c>
    </row>
    <row r="334" spans="1:13" x14ac:dyDescent="0.35">
      <c r="A334" t="s">
        <v>185</v>
      </c>
      <c r="B334" t="s">
        <v>36</v>
      </c>
      <c r="C334" t="s">
        <v>150</v>
      </c>
      <c r="D334" t="s">
        <v>146</v>
      </c>
      <c r="E334" t="s">
        <v>186</v>
      </c>
      <c r="F334" t="s">
        <v>19</v>
      </c>
      <c r="G334" t="s">
        <v>18</v>
      </c>
      <c r="H334" s="46">
        <v>3</v>
      </c>
      <c r="I334" s="46">
        <v>3</v>
      </c>
      <c r="J334" s="46">
        <v>0</v>
      </c>
      <c r="K334" s="46">
        <v>23</v>
      </c>
      <c r="L334" s="46">
        <v>21</v>
      </c>
      <c r="M334" s="48">
        <v>0.14285714285714299</v>
      </c>
    </row>
    <row r="335" spans="1:13" x14ac:dyDescent="0.35">
      <c r="A335" t="s">
        <v>185</v>
      </c>
      <c r="B335" t="s">
        <v>36</v>
      </c>
      <c r="C335" t="s">
        <v>148</v>
      </c>
      <c r="D335" t="s">
        <v>146</v>
      </c>
      <c r="E335" t="s">
        <v>186</v>
      </c>
      <c r="F335" t="s">
        <v>19</v>
      </c>
      <c r="G335" t="s">
        <v>18</v>
      </c>
      <c r="H335" s="46">
        <v>7</v>
      </c>
      <c r="I335" s="46">
        <v>7</v>
      </c>
      <c r="J335" s="46">
        <v>0</v>
      </c>
      <c r="K335" s="46">
        <v>85</v>
      </c>
      <c r="L335" s="46">
        <v>83</v>
      </c>
      <c r="M335" s="48">
        <v>8.4337349397590397E-2</v>
      </c>
    </row>
    <row r="336" spans="1:13" x14ac:dyDescent="0.35">
      <c r="A336" t="s">
        <v>185</v>
      </c>
      <c r="B336" t="s">
        <v>36</v>
      </c>
      <c r="C336" t="s">
        <v>153</v>
      </c>
      <c r="D336" t="s">
        <v>146</v>
      </c>
      <c r="E336" t="s">
        <v>186</v>
      </c>
      <c r="F336" t="s">
        <v>19</v>
      </c>
      <c r="G336" t="s">
        <v>18</v>
      </c>
      <c r="H336" s="46">
        <v>1</v>
      </c>
      <c r="I336" s="46">
        <v>1</v>
      </c>
      <c r="J336" s="46">
        <v>0</v>
      </c>
      <c r="K336" s="46">
        <v>6</v>
      </c>
      <c r="L336" s="46">
        <v>6</v>
      </c>
      <c r="M336" s="48">
        <v>0.16666666666666699</v>
      </c>
    </row>
    <row r="337" spans="1:13" x14ac:dyDescent="0.35">
      <c r="A337" t="s">
        <v>185</v>
      </c>
      <c r="B337" t="s">
        <v>36</v>
      </c>
      <c r="C337" t="s">
        <v>145</v>
      </c>
      <c r="D337" t="s">
        <v>162</v>
      </c>
      <c r="E337" t="s">
        <v>187</v>
      </c>
      <c r="F337" t="s">
        <v>21</v>
      </c>
      <c r="G337" t="s">
        <v>181</v>
      </c>
      <c r="H337" s="46">
        <v>5</v>
      </c>
      <c r="I337" s="46">
        <v>5</v>
      </c>
      <c r="J337" s="46">
        <v>0</v>
      </c>
      <c r="K337" s="46">
        <v>32</v>
      </c>
      <c r="L337" s="46">
        <v>26</v>
      </c>
      <c r="M337" s="48">
        <v>0.19230769230769201</v>
      </c>
    </row>
    <row r="338" spans="1:13" x14ac:dyDescent="0.35">
      <c r="A338" t="s">
        <v>185</v>
      </c>
      <c r="B338" t="s">
        <v>36</v>
      </c>
      <c r="C338" t="s">
        <v>153</v>
      </c>
      <c r="D338" t="s">
        <v>146</v>
      </c>
      <c r="E338" t="s">
        <v>187</v>
      </c>
      <c r="F338" t="s">
        <v>19</v>
      </c>
      <c r="G338" t="s">
        <v>18</v>
      </c>
      <c r="H338" s="46">
        <v>0</v>
      </c>
      <c r="I338" s="46">
        <v>0</v>
      </c>
      <c r="J338" s="46">
        <v>0</v>
      </c>
      <c r="K338" s="46">
        <v>5</v>
      </c>
      <c r="L338" s="46">
        <v>5</v>
      </c>
      <c r="M338" s="48">
        <v>0</v>
      </c>
    </row>
    <row r="339" spans="1:13" x14ac:dyDescent="0.35">
      <c r="A339" t="s">
        <v>185</v>
      </c>
      <c r="B339" t="s">
        <v>36</v>
      </c>
      <c r="C339" t="s">
        <v>150</v>
      </c>
      <c r="D339" t="s">
        <v>146</v>
      </c>
      <c r="E339" t="s">
        <v>187</v>
      </c>
      <c r="F339" t="s">
        <v>19</v>
      </c>
      <c r="G339" t="s">
        <v>18</v>
      </c>
      <c r="H339" s="46">
        <v>2</v>
      </c>
      <c r="I339" s="46">
        <v>2</v>
      </c>
      <c r="J339" s="46">
        <v>0</v>
      </c>
      <c r="K339" s="46">
        <v>10</v>
      </c>
      <c r="L339" s="46">
        <v>8</v>
      </c>
      <c r="M339" s="48">
        <v>0.25</v>
      </c>
    </row>
    <row r="340" spans="1:13" x14ac:dyDescent="0.35">
      <c r="A340" t="s">
        <v>185</v>
      </c>
      <c r="B340" t="s">
        <v>36</v>
      </c>
      <c r="C340" t="s">
        <v>151</v>
      </c>
      <c r="D340" t="s">
        <v>146</v>
      </c>
      <c r="E340" t="s">
        <v>187</v>
      </c>
      <c r="F340" t="s">
        <v>19</v>
      </c>
      <c r="G340" t="s">
        <v>18</v>
      </c>
      <c r="H340" s="46">
        <v>0</v>
      </c>
      <c r="I340" s="46">
        <v>0</v>
      </c>
      <c r="J340" s="46">
        <v>0</v>
      </c>
      <c r="K340" s="46">
        <v>16</v>
      </c>
      <c r="L340" s="46">
        <v>15</v>
      </c>
      <c r="M340" s="48">
        <v>0</v>
      </c>
    </row>
    <row r="341" spans="1:13" x14ac:dyDescent="0.35">
      <c r="A341" t="s">
        <v>185</v>
      </c>
      <c r="B341" t="s">
        <v>36</v>
      </c>
      <c r="C341" t="s">
        <v>152</v>
      </c>
      <c r="D341" t="s">
        <v>146</v>
      </c>
      <c r="E341" t="s">
        <v>187</v>
      </c>
      <c r="F341" t="s">
        <v>19</v>
      </c>
      <c r="G341" t="s">
        <v>18</v>
      </c>
      <c r="H341" s="46">
        <v>10</v>
      </c>
      <c r="I341" s="46">
        <v>10</v>
      </c>
      <c r="J341" s="46">
        <v>0</v>
      </c>
      <c r="K341" s="46">
        <v>70</v>
      </c>
      <c r="L341" s="46">
        <v>66</v>
      </c>
      <c r="M341" s="48">
        <v>0.15151515151515199</v>
      </c>
    </row>
    <row r="342" spans="1:13" x14ac:dyDescent="0.35">
      <c r="A342" t="s">
        <v>185</v>
      </c>
      <c r="B342" t="s">
        <v>36</v>
      </c>
      <c r="C342" t="s">
        <v>154</v>
      </c>
      <c r="D342" t="s">
        <v>146</v>
      </c>
      <c r="E342" t="s">
        <v>187</v>
      </c>
      <c r="F342" t="s">
        <v>19</v>
      </c>
      <c r="G342" t="s">
        <v>18</v>
      </c>
      <c r="H342" s="46">
        <v>1</v>
      </c>
      <c r="I342" s="46">
        <v>1</v>
      </c>
      <c r="J342" s="46">
        <v>0</v>
      </c>
      <c r="K342" s="46">
        <v>14</v>
      </c>
      <c r="L342" s="46">
        <v>14</v>
      </c>
      <c r="M342" s="48">
        <v>7.1428571428571397E-2</v>
      </c>
    </row>
    <row r="343" spans="1:13" x14ac:dyDescent="0.35">
      <c r="A343" t="s">
        <v>185</v>
      </c>
      <c r="B343" t="s">
        <v>36</v>
      </c>
      <c r="C343" t="s">
        <v>148</v>
      </c>
      <c r="D343" t="s">
        <v>146</v>
      </c>
      <c r="E343" t="s">
        <v>187</v>
      </c>
      <c r="F343" t="s">
        <v>19</v>
      </c>
      <c r="G343" t="s">
        <v>18</v>
      </c>
      <c r="H343" s="46">
        <v>11</v>
      </c>
      <c r="I343" s="46">
        <v>11</v>
      </c>
      <c r="J343" s="46">
        <v>0</v>
      </c>
      <c r="K343" s="46">
        <v>135</v>
      </c>
      <c r="L343" s="46">
        <v>126</v>
      </c>
      <c r="M343" s="48">
        <v>8.7301587301587297E-2</v>
      </c>
    </row>
    <row r="344" spans="1:13" x14ac:dyDescent="0.35">
      <c r="A344" t="s">
        <v>185</v>
      </c>
      <c r="B344" t="s">
        <v>36</v>
      </c>
      <c r="C344" t="s">
        <v>155</v>
      </c>
      <c r="D344" t="s">
        <v>146</v>
      </c>
      <c r="E344" t="s">
        <v>187</v>
      </c>
      <c r="F344" t="s">
        <v>19</v>
      </c>
      <c r="G344" t="s">
        <v>18</v>
      </c>
      <c r="H344" s="46">
        <v>0</v>
      </c>
      <c r="I344" s="46">
        <v>0</v>
      </c>
      <c r="J344" s="46">
        <v>0</v>
      </c>
      <c r="K344" s="46">
        <v>7</v>
      </c>
      <c r="L344" s="46">
        <v>7</v>
      </c>
      <c r="M344" s="48">
        <v>0</v>
      </c>
    </row>
    <row r="345" spans="1:13" x14ac:dyDescent="0.35">
      <c r="A345" t="s">
        <v>185</v>
      </c>
      <c r="B345" t="s">
        <v>36</v>
      </c>
      <c r="C345" t="s">
        <v>156</v>
      </c>
      <c r="D345" t="s">
        <v>146</v>
      </c>
      <c r="E345" t="s">
        <v>187</v>
      </c>
      <c r="F345" t="s">
        <v>19</v>
      </c>
      <c r="G345" t="s">
        <v>18</v>
      </c>
      <c r="H345" s="46">
        <v>1</v>
      </c>
      <c r="I345" s="46">
        <v>1</v>
      </c>
      <c r="J345" s="46">
        <v>0</v>
      </c>
      <c r="K345" s="46">
        <v>13</v>
      </c>
      <c r="L345" s="46">
        <v>13</v>
      </c>
      <c r="M345" s="48">
        <v>7.69230769230769E-2</v>
      </c>
    </row>
    <row r="346" spans="1:13" x14ac:dyDescent="0.35">
      <c r="A346" t="s">
        <v>185</v>
      </c>
      <c r="B346" t="s">
        <v>36</v>
      </c>
      <c r="C346" t="s">
        <v>157</v>
      </c>
      <c r="D346" t="s">
        <v>146</v>
      </c>
      <c r="E346" t="s">
        <v>187</v>
      </c>
      <c r="F346" t="s">
        <v>19</v>
      </c>
      <c r="G346" t="s">
        <v>18</v>
      </c>
      <c r="H346" s="46">
        <v>0</v>
      </c>
      <c r="I346" s="46">
        <v>0</v>
      </c>
      <c r="J346" s="46">
        <v>0</v>
      </c>
      <c r="K346" s="46">
        <v>6</v>
      </c>
      <c r="L346" s="46">
        <v>6</v>
      </c>
      <c r="M346" s="48">
        <v>0</v>
      </c>
    </row>
    <row r="347" spans="1:13" x14ac:dyDescent="0.35">
      <c r="A347" t="s">
        <v>185</v>
      </c>
      <c r="B347" t="s">
        <v>36</v>
      </c>
      <c r="C347" t="s">
        <v>158</v>
      </c>
      <c r="D347" t="s">
        <v>146</v>
      </c>
      <c r="E347" t="s">
        <v>187</v>
      </c>
      <c r="F347" t="s">
        <v>19</v>
      </c>
      <c r="G347" t="s">
        <v>18</v>
      </c>
      <c r="H347" s="46">
        <v>3</v>
      </c>
      <c r="I347" s="46">
        <v>3</v>
      </c>
      <c r="J347" s="46">
        <v>0</v>
      </c>
      <c r="K347" s="46">
        <v>38</v>
      </c>
      <c r="L347" s="46">
        <v>38</v>
      </c>
      <c r="M347" s="48">
        <v>7.8947368421052599E-2</v>
      </c>
    </row>
    <row r="348" spans="1:13" x14ac:dyDescent="0.35">
      <c r="A348" t="s">
        <v>185</v>
      </c>
      <c r="B348" t="s">
        <v>36</v>
      </c>
      <c r="C348" t="s">
        <v>150</v>
      </c>
      <c r="D348" t="s">
        <v>146</v>
      </c>
      <c r="E348" t="s">
        <v>192</v>
      </c>
      <c r="F348" t="s">
        <v>16</v>
      </c>
      <c r="G348" t="s">
        <v>18</v>
      </c>
      <c r="H348" s="46">
        <v>3</v>
      </c>
      <c r="I348" s="46">
        <v>3</v>
      </c>
      <c r="J348" s="46">
        <v>0</v>
      </c>
      <c r="K348" s="46">
        <v>12</v>
      </c>
      <c r="L348" s="46">
        <v>9</v>
      </c>
      <c r="M348" s="48">
        <v>0.33333333333333298</v>
      </c>
    </row>
    <row r="349" spans="1:13" x14ac:dyDescent="0.35">
      <c r="A349" t="s">
        <v>185</v>
      </c>
      <c r="B349" t="s">
        <v>36</v>
      </c>
      <c r="C349" t="s">
        <v>148</v>
      </c>
      <c r="D349" t="s">
        <v>146</v>
      </c>
      <c r="E349" t="s">
        <v>193</v>
      </c>
      <c r="F349" t="s">
        <v>16</v>
      </c>
      <c r="G349" t="s">
        <v>18</v>
      </c>
      <c r="H349" s="46">
        <v>11</v>
      </c>
      <c r="I349" s="46">
        <v>9</v>
      </c>
      <c r="J349" s="46">
        <v>2</v>
      </c>
      <c r="K349" s="46">
        <v>178</v>
      </c>
      <c r="L349" s="46">
        <v>171</v>
      </c>
      <c r="M349" s="48">
        <v>6.4327485380116997E-2</v>
      </c>
    </row>
    <row r="350" spans="1:13" x14ac:dyDescent="0.35">
      <c r="A350" t="s">
        <v>185</v>
      </c>
      <c r="B350" t="s">
        <v>36</v>
      </c>
      <c r="C350" t="s">
        <v>151</v>
      </c>
      <c r="D350" t="s">
        <v>146</v>
      </c>
      <c r="E350" t="s">
        <v>193</v>
      </c>
      <c r="F350" t="s">
        <v>16</v>
      </c>
      <c r="G350" t="s">
        <v>18</v>
      </c>
      <c r="H350" s="46">
        <v>1</v>
      </c>
      <c r="I350" s="46">
        <v>1</v>
      </c>
      <c r="J350" s="46">
        <v>0</v>
      </c>
      <c r="K350" s="46">
        <v>14</v>
      </c>
      <c r="L350" s="46">
        <v>14</v>
      </c>
      <c r="M350" s="48">
        <v>7.1428571428571397E-2</v>
      </c>
    </row>
    <row r="351" spans="1:13" x14ac:dyDescent="0.35">
      <c r="A351" t="s">
        <v>185</v>
      </c>
      <c r="B351" t="s">
        <v>36</v>
      </c>
      <c r="C351" t="s">
        <v>152</v>
      </c>
      <c r="D351" t="s">
        <v>146</v>
      </c>
      <c r="E351" t="s">
        <v>193</v>
      </c>
      <c r="F351" t="s">
        <v>16</v>
      </c>
      <c r="G351" t="s">
        <v>18</v>
      </c>
      <c r="H351" s="46">
        <v>13</v>
      </c>
      <c r="I351" s="46">
        <v>13</v>
      </c>
      <c r="J351" s="46">
        <v>0</v>
      </c>
      <c r="K351" s="46">
        <v>89</v>
      </c>
      <c r="L351" s="46">
        <v>82</v>
      </c>
      <c r="M351" s="48">
        <v>0.15853658536585399</v>
      </c>
    </row>
    <row r="352" spans="1:13" x14ac:dyDescent="0.35">
      <c r="A352" t="s">
        <v>185</v>
      </c>
      <c r="B352" t="s">
        <v>36</v>
      </c>
      <c r="C352" t="s">
        <v>153</v>
      </c>
      <c r="D352" t="s">
        <v>146</v>
      </c>
      <c r="E352" t="s">
        <v>193</v>
      </c>
      <c r="F352" t="s">
        <v>16</v>
      </c>
      <c r="G352" t="s">
        <v>18</v>
      </c>
      <c r="H352" s="46">
        <v>1</v>
      </c>
      <c r="I352" s="46">
        <v>1</v>
      </c>
      <c r="J352" s="46">
        <v>0</v>
      </c>
      <c r="K352" s="46">
        <v>5</v>
      </c>
      <c r="L352" s="46">
        <v>5</v>
      </c>
      <c r="M352" s="48">
        <v>0.2</v>
      </c>
    </row>
    <row r="353" spans="1:13" x14ac:dyDescent="0.35">
      <c r="A353" t="s">
        <v>185</v>
      </c>
      <c r="B353" t="s">
        <v>36</v>
      </c>
      <c r="C353" t="s">
        <v>154</v>
      </c>
      <c r="D353" t="s">
        <v>146</v>
      </c>
      <c r="E353" t="s">
        <v>193</v>
      </c>
      <c r="F353" t="s">
        <v>16</v>
      </c>
      <c r="G353" t="s">
        <v>18</v>
      </c>
      <c r="H353" s="46">
        <v>0</v>
      </c>
      <c r="I353" s="46">
        <v>0</v>
      </c>
      <c r="J353" s="46">
        <v>0</v>
      </c>
      <c r="K353" s="46">
        <v>9</v>
      </c>
      <c r="L353" s="46">
        <v>9</v>
      </c>
      <c r="M353" s="48">
        <v>0</v>
      </c>
    </row>
    <row r="354" spans="1:13" x14ac:dyDescent="0.35">
      <c r="A354" t="s">
        <v>185</v>
      </c>
      <c r="B354" t="s">
        <v>36</v>
      </c>
      <c r="C354" t="s">
        <v>155</v>
      </c>
      <c r="D354" t="s">
        <v>146</v>
      </c>
      <c r="E354" t="s">
        <v>193</v>
      </c>
      <c r="F354" t="s">
        <v>16</v>
      </c>
      <c r="G354" t="s">
        <v>18</v>
      </c>
      <c r="H354" s="46">
        <v>2</v>
      </c>
      <c r="I354" s="46">
        <v>2</v>
      </c>
      <c r="J354" s="46">
        <v>0</v>
      </c>
      <c r="K354" s="46">
        <v>7</v>
      </c>
      <c r="L354" s="46">
        <v>7</v>
      </c>
      <c r="M354" s="48">
        <v>0.28571428571428598</v>
      </c>
    </row>
    <row r="355" spans="1:13" x14ac:dyDescent="0.35">
      <c r="A355" t="s">
        <v>185</v>
      </c>
      <c r="B355" t="s">
        <v>36</v>
      </c>
      <c r="C355" t="s">
        <v>156</v>
      </c>
      <c r="D355" t="s">
        <v>146</v>
      </c>
      <c r="E355" t="s">
        <v>193</v>
      </c>
      <c r="F355" t="s">
        <v>16</v>
      </c>
      <c r="G355" t="s">
        <v>18</v>
      </c>
      <c r="H355" s="46">
        <v>1</v>
      </c>
      <c r="I355" s="46">
        <v>1</v>
      </c>
      <c r="J355" s="46">
        <v>0</v>
      </c>
      <c r="K355" s="46">
        <v>13</v>
      </c>
      <c r="L355" s="46">
        <v>11</v>
      </c>
      <c r="M355" s="48">
        <v>9.0909090909090898E-2</v>
      </c>
    </row>
    <row r="356" spans="1:13" x14ac:dyDescent="0.35">
      <c r="A356" t="s">
        <v>185</v>
      </c>
      <c r="B356" t="s">
        <v>36</v>
      </c>
      <c r="C356" t="s">
        <v>157</v>
      </c>
      <c r="D356" t="s">
        <v>146</v>
      </c>
      <c r="E356" t="s">
        <v>193</v>
      </c>
      <c r="F356" t="s">
        <v>16</v>
      </c>
      <c r="G356" t="s">
        <v>18</v>
      </c>
      <c r="H356" s="46">
        <v>0</v>
      </c>
      <c r="I356" s="46">
        <v>0</v>
      </c>
      <c r="J356" s="46">
        <v>0</v>
      </c>
      <c r="K356" s="46">
        <v>15</v>
      </c>
      <c r="L356" s="46">
        <v>14</v>
      </c>
      <c r="M356" s="48">
        <v>0</v>
      </c>
    </row>
    <row r="357" spans="1:13" x14ac:dyDescent="0.35">
      <c r="A357" t="s">
        <v>185</v>
      </c>
      <c r="B357" t="s">
        <v>36</v>
      </c>
      <c r="C357" t="s">
        <v>158</v>
      </c>
      <c r="D357" t="s">
        <v>146</v>
      </c>
      <c r="E357" t="s">
        <v>193</v>
      </c>
      <c r="F357" t="s">
        <v>16</v>
      </c>
      <c r="G357" t="s">
        <v>18</v>
      </c>
      <c r="H357" s="46">
        <v>2</v>
      </c>
      <c r="I357" s="46">
        <v>2</v>
      </c>
      <c r="J357" s="46">
        <v>0</v>
      </c>
      <c r="K357" s="46">
        <v>35</v>
      </c>
      <c r="L357" s="46">
        <v>33</v>
      </c>
      <c r="M357" s="48">
        <v>6.0606060606060601E-2</v>
      </c>
    </row>
    <row r="358" spans="1:13" x14ac:dyDescent="0.35">
      <c r="A358" t="s">
        <v>185</v>
      </c>
      <c r="B358" t="s">
        <v>36</v>
      </c>
      <c r="C358" t="s">
        <v>150</v>
      </c>
      <c r="D358" t="s">
        <v>146</v>
      </c>
      <c r="E358" t="s">
        <v>194</v>
      </c>
      <c r="F358" t="s">
        <v>16</v>
      </c>
      <c r="G358" t="s">
        <v>17</v>
      </c>
      <c r="H358" s="46">
        <v>3</v>
      </c>
      <c r="I358" s="46">
        <v>2</v>
      </c>
      <c r="J358" s="46">
        <v>0</v>
      </c>
      <c r="K358" s="46">
        <v>10</v>
      </c>
      <c r="L358" s="46">
        <v>9</v>
      </c>
      <c r="M358" s="48">
        <v>0.33333333333333298</v>
      </c>
    </row>
    <row r="359" spans="1:13" x14ac:dyDescent="0.35">
      <c r="A359" t="s">
        <v>185</v>
      </c>
      <c r="B359" t="s">
        <v>36</v>
      </c>
      <c r="C359" t="s">
        <v>155</v>
      </c>
      <c r="D359" t="s">
        <v>146</v>
      </c>
      <c r="E359" t="s">
        <v>194</v>
      </c>
      <c r="F359" t="s">
        <v>16</v>
      </c>
      <c r="G359" t="s">
        <v>17</v>
      </c>
      <c r="H359" s="46">
        <v>2</v>
      </c>
      <c r="I359" s="46">
        <v>2</v>
      </c>
      <c r="J359" s="46">
        <v>0</v>
      </c>
      <c r="K359" s="46">
        <v>12</v>
      </c>
      <c r="L359" s="46">
        <v>12</v>
      </c>
      <c r="M359" s="48">
        <v>0.16666666666666699</v>
      </c>
    </row>
    <row r="360" spans="1:13" x14ac:dyDescent="0.35">
      <c r="A360" t="s">
        <v>185</v>
      </c>
      <c r="B360" t="s">
        <v>36</v>
      </c>
      <c r="C360" t="s">
        <v>156</v>
      </c>
      <c r="D360" t="s">
        <v>146</v>
      </c>
      <c r="E360" t="s">
        <v>194</v>
      </c>
      <c r="F360" t="s">
        <v>16</v>
      </c>
      <c r="G360" t="s">
        <v>17</v>
      </c>
      <c r="H360" s="46">
        <v>1</v>
      </c>
      <c r="I360" s="46">
        <v>1</v>
      </c>
      <c r="J360" s="46">
        <v>0</v>
      </c>
      <c r="K360" s="46">
        <v>9</v>
      </c>
      <c r="L360" s="46">
        <v>9</v>
      </c>
      <c r="M360" s="48">
        <v>0.11111111111111099</v>
      </c>
    </row>
    <row r="361" spans="1:13" x14ac:dyDescent="0.35">
      <c r="A361" t="s">
        <v>185</v>
      </c>
      <c r="B361" t="s">
        <v>36</v>
      </c>
      <c r="C361" t="s">
        <v>153</v>
      </c>
      <c r="D361" t="s">
        <v>146</v>
      </c>
      <c r="E361" t="s">
        <v>194</v>
      </c>
      <c r="F361" t="s">
        <v>16</v>
      </c>
      <c r="G361" t="s">
        <v>17</v>
      </c>
      <c r="H361" s="46">
        <v>0</v>
      </c>
      <c r="I361" s="46">
        <v>0</v>
      </c>
      <c r="J361" s="46">
        <v>0</v>
      </c>
      <c r="K361" s="46">
        <v>7</v>
      </c>
      <c r="L361" s="46">
        <v>5</v>
      </c>
      <c r="M361" s="48">
        <v>0</v>
      </c>
    </row>
    <row r="362" spans="1:13" x14ac:dyDescent="0.35">
      <c r="A362" t="s">
        <v>185</v>
      </c>
      <c r="B362" t="s">
        <v>36</v>
      </c>
      <c r="C362" t="s">
        <v>151</v>
      </c>
      <c r="D362" t="s">
        <v>146</v>
      </c>
      <c r="E362" t="s">
        <v>194</v>
      </c>
      <c r="F362" t="s">
        <v>16</v>
      </c>
      <c r="G362" t="s">
        <v>17</v>
      </c>
      <c r="H362" s="46">
        <v>0</v>
      </c>
      <c r="I362" s="46">
        <v>0</v>
      </c>
      <c r="J362" s="46">
        <v>0</v>
      </c>
      <c r="K362" s="46">
        <v>14</v>
      </c>
      <c r="L362" s="46">
        <v>14</v>
      </c>
      <c r="M362" s="48">
        <v>0</v>
      </c>
    </row>
    <row r="363" spans="1:13" x14ac:dyDescent="0.35">
      <c r="A363" t="s">
        <v>185</v>
      </c>
      <c r="B363" t="s">
        <v>36</v>
      </c>
      <c r="C363" t="s">
        <v>158</v>
      </c>
      <c r="D363" t="s">
        <v>146</v>
      </c>
      <c r="E363" t="s">
        <v>194</v>
      </c>
      <c r="F363" t="s">
        <v>16</v>
      </c>
      <c r="G363" t="s">
        <v>17</v>
      </c>
      <c r="H363" s="46">
        <v>1</v>
      </c>
      <c r="I363" s="46">
        <v>1</v>
      </c>
      <c r="J363" s="46">
        <v>0</v>
      </c>
      <c r="K363" s="46">
        <v>60</v>
      </c>
      <c r="L363" s="46">
        <v>56</v>
      </c>
      <c r="M363" s="48">
        <v>1.7857142857142901E-2</v>
      </c>
    </row>
    <row r="364" spans="1:13" x14ac:dyDescent="0.35">
      <c r="A364" t="s">
        <v>185</v>
      </c>
      <c r="B364" t="s">
        <v>36</v>
      </c>
      <c r="C364" t="s">
        <v>148</v>
      </c>
      <c r="D364" t="s">
        <v>146</v>
      </c>
      <c r="E364" t="s">
        <v>194</v>
      </c>
      <c r="F364" t="s">
        <v>16</v>
      </c>
      <c r="G364" t="s">
        <v>17</v>
      </c>
      <c r="H364" s="46">
        <v>7</v>
      </c>
      <c r="I364" s="46">
        <v>7</v>
      </c>
      <c r="J364" s="46">
        <v>0</v>
      </c>
      <c r="K364" s="46">
        <v>116</v>
      </c>
      <c r="L364" s="46">
        <v>113</v>
      </c>
      <c r="M364" s="48">
        <v>6.1946902654867297E-2</v>
      </c>
    </row>
    <row r="365" spans="1:13" x14ac:dyDescent="0.35">
      <c r="A365" t="s">
        <v>185</v>
      </c>
      <c r="B365" t="s">
        <v>36</v>
      </c>
      <c r="C365" t="s">
        <v>157</v>
      </c>
      <c r="D365" t="s">
        <v>146</v>
      </c>
      <c r="E365" t="s">
        <v>194</v>
      </c>
      <c r="F365" t="s">
        <v>16</v>
      </c>
      <c r="G365" t="s">
        <v>17</v>
      </c>
      <c r="H365" s="46">
        <v>0</v>
      </c>
      <c r="I365" s="46">
        <v>0</v>
      </c>
      <c r="J365" s="46">
        <v>0</v>
      </c>
      <c r="K365" s="46">
        <v>9</v>
      </c>
      <c r="L365" s="46">
        <v>9</v>
      </c>
      <c r="M365" s="48">
        <v>0</v>
      </c>
    </row>
    <row r="366" spans="1:13" x14ac:dyDescent="0.35">
      <c r="A366" t="s">
        <v>185</v>
      </c>
      <c r="B366" t="s">
        <v>36</v>
      </c>
      <c r="C366" t="s">
        <v>152</v>
      </c>
      <c r="D366" t="s">
        <v>146</v>
      </c>
      <c r="E366" t="s">
        <v>194</v>
      </c>
      <c r="F366" t="s">
        <v>16</v>
      </c>
      <c r="G366" t="s">
        <v>17</v>
      </c>
      <c r="H366" s="46">
        <v>14</v>
      </c>
      <c r="I366" s="46">
        <v>14</v>
      </c>
      <c r="J366" s="46">
        <v>0</v>
      </c>
      <c r="K366" s="46">
        <v>103</v>
      </c>
      <c r="L366" s="46">
        <v>95</v>
      </c>
      <c r="M366" s="48">
        <v>0.14736842105263201</v>
      </c>
    </row>
    <row r="367" spans="1:13" x14ac:dyDescent="0.35">
      <c r="A367" t="s">
        <v>185</v>
      </c>
      <c r="B367" t="s">
        <v>36</v>
      </c>
      <c r="C367" t="s">
        <v>154</v>
      </c>
      <c r="D367" t="s">
        <v>146</v>
      </c>
      <c r="E367" t="s">
        <v>194</v>
      </c>
      <c r="F367" t="s">
        <v>16</v>
      </c>
      <c r="G367" t="s">
        <v>17</v>
      </c>
      <c r="H367" s="46">
        <v>0</v>
      </c>
      <c r="I367" s="46">
        <v>0</v>
      </c>
      <c r="J367" s="46">
        <v>0</v>
      </c>
      <c r="K367" s="46">
        <v>13</v>
      </c>
      <c r="L367" s="46">
        <v>13</v>
      </c>
      <c r="M367" s="48">
        <v>0</v>
      </c>
    </row>
    <row r="368" spans="1:13" x14ac:dyDescent="0.35">
      <c r="A368" t="s">
        <v>185</v>
      </c>
      <c r="B368" t="s">
        <v>36</v>
      </c>
      <c r="C368" t="s">
        <v>150</v>
      </c>
      <c r="D368" t="s">
        <v>146</v>
      </c>
      <c r="E368" t="s">
        <v>195</v>
      </c>
      <c r="F368" t="s">
        <v>16</v>
      </c>
      <c r="G368" t="s">
        <v>17</v>
      </c>
      <c r="H368" s="46">
        <v>1</v>
      </c>
      <c r="I368" s="46">
        <v>1</v>
      </c>
      <c r="J368" s="46">
        <v>0</v>
      </c>
      <c r="K368" s="46">
        <v>12</v>
      </c>
      <c r="L368" s="46">
        <v>10</v>
      </c>
      <c r="M368" s="48">
        <v>0.1</v>
      </c>
    </row>
    <row r="369" spans="1:13" x14ac:dyDescent="0.35">
      <c r="A369" t="s">
        <v>185</v>
      </c>
      <c r="B369" t="s">
        <v>36</v>
      </c>
      <c r="C369" t="s">
        <v>151</v>
      </c>
      <c r="D369" t="s">
        <v>146</v>
      </c>
      <c r="E369" t="s">
        <v>195</v>
      </c>
      <c r="F369" t="s">
        <v>16</v>
      </c>
      <c r="G369" t="s">
        <v>17</v>
      </c>
      <c r="H369" s="46">
        <v>0</v>
      </c>
      <c r="I369" s="46">
        <v>0</v>
      </c>
      <c r="J369" s="46">
        <v>0</v>
      </c>
      <c r="K369" s="46">
        <v>13</v>
      </c>
      <c r="L369" s="46">
        <v>13</v>
      </c>
      <c r="M369" s="48">
        <v>0</v>
      </c>
    </row>
    <row r="370" spans="1:13" x14ac:dyDescent="0.35">
      <c r="A370" t="s">
        <v>185</v>
      </c>
      <c r="B370" t="s">
        <v>36</v>
      </c>
      <c r="C370" t="s">
        <v>152</v>
      </c>
      <c r="D370" t="s">
        <v>146</v>
      </c>
      <c r="E370" t="s">
        <v>195</v>
      </c>
      <c r="F370" t="s">
        <v>16</v>
      </c>
      <c r="G370" t="s">
        <v>17</v>
      </c>
      <c r="H370" s="46">
        <v>15</v>
      </c>
      <c r="I370" s="46">
        <v>14</v>
      </c>
      <c r="J370" s="46">
        <v>1</v>
      </c>
      <c r="K370" s="46">
        <v>112</v>
      </c>
      <c r="L370" s="46">
        <v>94</v>
      </c>
      <c r="M370" s="48">
        <v>0.159574468085106</v>
      </c>
    </row>
    <row r="371" spans="1:13" x14ac:dyDescent="0.35">
      <c r="A371" t="s">
        <v>185</v>
      </c>
      <c r="B371" t="s">
        <v>36</v>
      </c>
      <c r="C371" t="s">
        <v>153</v>
      </c>
      <c r="D371" t="s">
        <v>146</v>
      </c>
      <c r="E371" t="s">
        <v>195</v>
      </c>
      <c r="F371" t="s">
        <v>16</v>
      </c>
      <c r="G371" t="s">
        <v>17</v>
      </c>
      <c r="H371" s="46">
        <v>1</v>
      </c>
      <c r="I371" s="46">
        <v>1</v>
      </c>
      <c r="J371" s="46">
        <v>0</v>
      </c>
      <c r="K371" s="46">
        <v>12</v>
      </c>
      <c r="L371" s="46">
        <v>10</v>
      </c>
      <c r="M371" s="48">
        <v>0.1</v>
      </c>
    </row>
    <row r="372" spans="1:13" x14ac:dyDescent="0.35">
      <c r="A372" t="s">
        <v>185</v>
      </c>
      <c r="B372" t="s">
        <v>36</v>
      </c>
      <c r="C372" t="s">
        <v>154</v>
      </c>
      <c r="D372" t="s">
        <v>146</v>
      </c>
      <c r="E372" t="s">
        <v>195</v>
      </c>
      <c r="F372" t="s">
        <v>16</v>
      </c>
      <c r="G372" t="s">
        <v>17</v>
      </c>
      <c r="H372" s="46">
        <v>1</v>
      </c>
      <c r="I372" s="46">
        <v>1</v>
      </c>
      <c r="J372" s="46">
        <v>0</v>
      </c>
      <c r="K372" s="46">
        <v>20</v>
      </c>
      <c r="L372" s="46">
        <v>18</v>
      </c>
      <c r="M372" s="48">
        <v>5.5555555555555601E-2</v>
      </c>
    </row>
    <row r="373" spans="1:13" x14ac:dyDescent="0.35">
      <c r="A373" t="s">
        <v>185</v>
      </c>
      <c r="B373" t="s">
        <v>36</v>
      </c>
      <c r="C373" t="s">
        <v>148</v>
      </c>
      <c r="D373" t="s">
        <v>146</v>
      </c>
      <c r="E373" t="s">
        <v>195</v>
      </c>
      <c r="F373" t="s">
        <v>16</v>
      </c>
      <c r="G373" t="s">
        <v>17</v>
      </c>
      <c r="H373" s="46">
        <v>8</v>
      </c>
      <c r="I373" s="46">
        <v>7</v>
      </c>
      <c r="J373" s="46">
        <v>1</v>
      </c>
      <c r="K373" s="46">
        <v>128</v>
      </c>
      <c r="L373" s="46">
        <v>122</v>
      </c>
      <c r="M373" s="48">
        <v>6.5573770491803296E-2</v>
      </c>
    </row>
    <row r="374" spans="1:13" x14ac:dyDescent="0.35">
      <c r="A374" t="s">
        <v>185</v>
      </c>
      <c r="B374" t="s">
        <v>36</v>
      </c>
      <c r="C374" t="s">
        <v>155</v>
      </c>
      <c r="D374" t="s">
        <v>146</v>
      </c>
      <c r="E374" t="s">
        <v>195</v>
      </c>
      <c r="F374" t="s">
        <v>16</v>
      </c>
      <c r="G374" t="s">
        <v>17</v>
      </c>
      <c r="H374" s="46">
        <v>2</v>
      </c>
      <c r="I374" s="46">
        <v>2</v>
      </c>
      <c r="J374" s="46">
        <v>0</v>
      </c>
      <c r="K374" s="46">
        <v>10</v>
      </c>
      <c r="L374" s="46">
        <v>10</v>
      </c>
      <c r="M374" s="48">
        <v>0.2</v>
      </c>
    </row>
    <row r="375" spans="1:13" x14ac:dyDescent="0.35">
      <c r="A375" t="s">
        <v>185</v>
      </c>
      <c r="B375" t="s">
        <v>36</v>
      </c>
      <c r="C375" t="s">
        <v>156</v>
      </c>
      <c r="D375" t="s">
        <v>146</v>
      </c>
      <c r="E375" t="s">
        <v>195</v>
      </c>
      <c r="F375" t="s">
        <v>16</v>
      </c>
      <c r="G375" t="s">
        <v>17</v>
      </c>
      <c r="H375" s="46">
        <v>2</v>
      </c>
      <c r="I375" s="46">
        <v>2</v>
      </c>
      <c r="J375" s="46">
        <v>0</v>
      </c>
      <c r="K375" s="46">
        <v>10</v>
      </c>
      <c r="L375" s="46">
        <v>9</v>
      </c>
      <c r="M375" s="48">
        <v>0.22222222222222199</v>
      </c>
    </row>
    <row r="376" spans="1:13" x14ac:dyDescent="0.35">
      <c r="A376" t="s">
        <v>185</v>
      </c>
      <c r="B376" t="s">
        <v>36</v>
      </c>
      <c r="C376" t="s">
        <v>157</v>
      </c>
      <c r="D376" t="s">
        <v>146</v>
      </c>
      <c r="E376" t="s">
        <v>195</v>
      </c>
      <c r="F376" t="s">
        <v>16</v>
      </c>
      <c r="G376" t="s">
        <v>17</v>
      </c>
      <c r="H376" s="46">
        <v>1</v>
      </c>
      <c r="I376" s="46">
        <v>1</v>
      </c>
      <c r="J376" s="46">
        <v>0</v>
      </c>
      <c r="K376" s="46">
        <v>17</v>
      </c>
      <c r="L376" s="46">
        <v>14</v>
      </c>
      <c r="M376" s="48">
        <v>7.1428571428571397E-2</v>
      </c>
    </row>
    <row r="377" spans="1:13" x14ac:dyDescent="0.35">
      <c r="A377" t="s">
        <v>185</v>
      </c>
      <c r="B377" t="s">
        <v>36</v>
      </c>
      <c r="C377" t="s">
        <v>158</v>
      </c>
      <c r="D377" t="s">
        <v>146</v>
      </c>
      <c r="E377" t="s">
        <v>195</v>
      </c>
      <c r="F377" t="s">
        <v>16</v>
      </c>
      <c r="G377" t="s">
        <v>17</v>
      </c>
      <c r="H377" s="46">
        <v>1</v>
      </c>
      <c r="I377" s="46">
        <v>1</v>
      </c>
      <c r="J377" s="46">
        <v>0</v>
      </c>
      <c r="K377" s="46">
        <v>41</v>
      </c>
      <c r="L377" s="46">
        <v>37</v>
      </c>
      <c r="M377" s="48">
        <v>2.7027027027027001E-2</v>
      </c>
    </row>
    <row r="378" spans="1:13" x14ac:dyDescent="0.35">
      <c r="A378" t="s">
        <v>185</v>
      </c>
      <c r="B378" t="s">
        <v>36</v>
      </c>
      <c r="C378" t="s">
        <v>150</v>
      </c>
      <c r="D378" t="s">
        <v>146</v>
      </c>
      <c r="E378" t="s">
        <v>196</v>
      </c>
      <c r="F378" t="s">
        <v>16</v>
      </c>
      <c r="G378" t="s">
        <v>17</v>
      </c>
      <c r="H378" s="46">
        <v>2</v>
      </c>
      <c r="I378" s="46">
        <v>2</v>
      </c>
      <c r="J378" s="46">
        <v>0</v>
      </c>
      <c r="K378" s="46">
        <v>12</v>
      </c>
      <c r="L378" s="46">
        <v>11</v>
      </c>
      <c r="M378" s="48">
        <v>0.18181818181818199</v>
      </c>
    </row>
    <row r="379" spans="1:13" x14ac:dyDescent="0.35">
      <c r="A379" t="s">
        <v>185</v>
      </c>
      <c r="B379" t="s">
        <v>36</v>
      </c>
      <c r="C379" t="s">
        <v>152</v>
      </c>
      <c r="D379" t="s">
        <v>146</v>
      </c>
      <c r="E379" t="s">
        <v>196</v>
      </c>
      <c r="F379" t="s">
        <v>16</v>
      </c>
      <c r="G379" t="s">
        <v>17</v>
      </c>
      <c r="H379" s="46">
        <v>10</v>
      </c>
      <c r="I379" s="46">
        <v>10</v>
      </c>
      <c r="J379" s="46">
        <v>0</v>
      </c>
      <c r="K379" s="46">
        <v>99</v>
      </c>
      <c r="L379" s="46">
        <v>87</v>
      </c>
      <c r="M379" s="48">
        <v>0.114942528735632</v>
      </c>
    </row>
    <row r="380" spans="1:13" x14ac:dyDescent="0.35">
      <c r="A380" t="s">
        <v>185</v>
      </c>
      <c r="B380" t="s">
        <v>36</v>
      </c>
      <c r="C380" t="s">
        <v>148</v>
      </c>
      <c r="D380" t="s">
        <v>146</v>
      </c>
      <c r="E380" t="s">
        <v>196</v>
      </c>
      <c r="F380" t="s">
        <v>16</v>
      </c>
      <c r="G380" t="s">
        <v>17</v>
      </c>
      <c r="H380" s="46">
        <v>10</v>
      </c>
      <c r="I380" s="46">
        <v>9</v>
      </c>
      <c r="J380" s="46">
        <v>1</v>
      </c>
      <c r="K380" s="46">
        <v>159</v>
      </c>
      <c r="L380" s="46">
        <v>147</v>
      </c>
      <c r="M380" s="48">
        <v>6.8027210884353706E-2</v>
      </c>
    </row>
    <row r="381" spans="1:13" x14ac:dyDescent="0.35">
      <c r="A381" t="s">
        <v>185</v>
      </c>
      <c r="B381" t="s">
        <v>36</v>
      </c>
      <c r="C381" t="s">
        <v>155</v>
      </c>
      <c r="D381" t="s">
        <v>146</v>
      </c>
      <c r="E381" t="s">
        <v>196</v>
      </c>
      <c r="F381" t="s">
        <v>16</v>
      </c>
      <c r="G381" t="s">
        <v>17</v>
      </c>
      <c r="H381" s="46">
        <v>2</v>
      </c>
      <c r="I381" s="46">
        <v>2</v>
      </c>
      <c r="J381" s="46">
        <v>0</v>
      </c>
      <c r="K381" s="46">
        <v>11</v>
      </c>
      <c r="L381" s="46">
        <v>11</v>
      </c>
      <c r="M381" s="48">
        <v>0.18181818181818199</v>
      </c>
    </row>
    <row r="382" spans="1:13" x14ac:dyDescent="0.35">
      <c r="A382" t="s">
        <v>185</v>
      </c>
      <c r="B382" t="s">
        <v>36</v>
      </c>
      <c r="C382" t="s">
        <v>157</v>
      </c>
      <c r="D382" t="s">
        <v>146</v>
      </c>
      <c r="E382" t="s">
        <v>196</v>
      </c>
      <c r="F382" t="s">
        <v>16</v>
      </c>
      <c r="G382" t="s">
        <v>17</v>
      </c>
      <c r="H382" s="46">
        <v>1</v>
      </c>
      <c r="I382" s="46">
        <v>1</v>
      </c>
      <c r="J382" s="46">
        <v>0</v>
      </c>
      <c r="K382" s="46">
        <v>11</v>
      </c>
      <c r="L382" s="46">
        <v>10</v>
      </c>
      <c r="M382" s="48">
        <v>0.1</v>
      </c>
    </row>
    <row r="383" spans="1:13" x14ac:dyDescent="0.35">
      <c r="A383" t="s">
        <v>185</v>
      </c>
      <c r="B383" t="s">
        <v>36</v>
      </c>
      <c r="C383" t="s">
        <v>158</v>
      </c>
      <c r="D383" t="s">
        <v>146</v>
      </c>
      <c r="E383" t="s">
        <v>196</v>
      </c>
      <c r="F383" t="s">
        <v>16</v>
      </c>
      <c r="G383" t="s">
        <v>17</v>
      </c>
      <c r="H383" s="46">
        <v>4</v>
      </c>
      <c r="I383" s="46">
        <v>4</v>
      </c>
      <c r="J383" s="46">
        <v>0</v>
      </c>
      <c r="K383" s="46">
        <v>67</v>
      </c>
      <c r="L383" s="46">
        <v>64</v>
      </c>
      <c r="M383" s="48">
        <v>6.25E-2</v>
      </c>
    </row>
    <row r="384" spans="1:13" x14ac:dyDescent="0.35">
      <c r="A384" t="s">
        <v>197</v>
      </c>
      <c r="B384" t="s">
        <v>13</v>
      </c>
      <c r="C384" t="s">
        <v>145</v>
      </c>
      <c r="D384" t="s">
        <v>146</v>
      </c>
      <c r="E384" t="s">
        <v>198</v>
      </c>
      <c r="F384" t="s">
        <v>199</v>
      </c>
      <c r="G384" t="s">
        <v>199</v>
      </c>
      <c r="H384" s="46">
        <v>5</v>
      </c>
      <c r="I384" s="46">
        <v>0</v>
      </c>
      <c r="J384" s="46">
        <v>3</v>
      </c>
      <c r="K384" s="46">
        <v>14</v>
      </c>
      <c r="L384" s="46">
        <v>14</v>
      </c>
      <c r="M384" s="48">
        <v>0.35714285714285698</v>
      </c>
    </row>
    <row r="385" spans="1:13" x14ac:dyDescent="0.35">
      <c r="A385" t="s">
        <v>197</v>
      </c>
      <c r="B385" t="s">
        <v>13</v>
      </c>
      <c r="C385" t="s">
        <v>149</v>
      </c>
      <c r="D385" t="s">
        <v>146</v>
      </c>
      <c r="E385" t="s">
        <v>198</v>
      </c>
      <c r="F385" t="s">
        <v>199</v>
      </c>
      <c r="G385" t="s">
        <v>18</v>
      </c>
      <c r="H385" s="46">
        <v>0</v>
      </c>
      <c r="I385" s="46">
        <v>0</v>
      </c>
      <c r="J385" s="46">
        <v>0</v>
      </c>
      <c r="K385" s="46">
        <v>162</v>
      </c>
      <c r="L385" s="46">
        <v>161</v>
      </c>
      <c r="M385" s="48">
        <v>0</v>
      </c>
    </row>
    <row r="386" spans="1:13" x14ac:dyDescent="0.35">
      <c r="A386" t="s">
        <v>197</v>
      </c>
      <c r="B386" t="s">
        <v>13</v>
      </c>
      <c r="C386" t="s">
        <v>150</v>
      </c>
      <c r="D386" t="s">
        <v>146</v>
      </c>
      <c r="E386" t="s">
        <v>198</v>
      </c>
      <c r="F386" t="s">
        <v>199</v>
      </c>
      <c r="G386" t="s">
        <v>18</v>
      </c>
      <c r="H386" s="46">
        <v>0</v>
      </c>
      <c r="I386" s="46">
        <v>0</v>
      </c>
      <c r="J386" s="46">
        <v>0</v>
      </c>
      <c r="K386" s="46">
        <v>63</v>
      </c>
      <c r="L386" s="46">
        <v>63</v>
      </c>
      <c r="M386" s="48">
        <v>0</v>
      </c>
    </row>
    <row r="387" spans="1:13" x14ac:dyDescent="0.35">
      <c r="A387" t="s">
        <v>197</v>
      </c>
      <c r="B387" t="s">
        <v>13</v>
      </c>
      <c r="C387" t="s">
        <v>151</v>
      </c>
      <c r="D387" t="s">
        <v>146</v>
      </c>
      <c r="E387" t="s">
        <v>198</v>
      </c>
      <c r="F387" t="s">
        <v>199</v>
      </c>
      <c r="G387" t="s">
        <v>18</v>
      </c>
      <c r="H387" s="46">
        <v>3</v>
      </c>
      <c r="I387" s="46">
        <v>0</v>
      </c>
      <c r="J387" s="46">
        <v>0</v>
      </c>
      <c r="K387" s="46">
        <v>31</v>
      </c>
      <c r="L387" s="46">
        <v>30</v>
      </c>
      <c r="M387" s="48">
        <v>0.1</v>
      </c>
    </row>
    <row r="388" spans="1:13" x14ac:dyDescent="0.35">
      <c r="A388" t="s">
        <v>197</v>
      </c>
      <c r="B388" t="s">
        <v>13</v>
      </c>
      <c r="C388" t="s">
        <v>152</v>
      </c>
      <c r="D388" t="s">
        <v>146</v>
      </c>
      <c r="E388" t="s">
        <v>198</v>
      </c>
      <c r="F388" t="s">
        <v>199</v>
      </c>
      <c r="G388" t="s">
        <v>18</v>
      </c>
      <c r="H388" s="46">
        <v>4</v>
      </c>
      <c r="I388" s="46">
        <v>0</v>
      </c>
      <c r="J388" s="46">
        <v>1</v>
      </c>
      <c r="K388" s="46">
        <v>20</v>
      </c>
      <c r="L388" s="46">
        <v>20</v>
      </c>
      <c r="M388" s="48">
        <v>0.2</v>
      </c>
    </row>
    <row r="389" spans="1:13" x14ac:dyDescent="0.35">
      <c r="A389" t="s">
        <v>197</v>
      </c>
      <c r="B389" t="s">
        <v>13</v>
      </c>
      <c r="C389" t="s">
        <v>153</v>
      </c>
      <c r="D389" t="s">
        <v>146</v>
      </c>
      <c r="E389" t="s">
        <v>198</v>
      </c>
      <c r="F389" t="s">
        <v>199</v>
      </c>
      <c r="G389" t="s">
        <v>18</v>
      </c>
      <c r="H389" s="46">
        <v>0</v>
      </c>
      <c r="I389" s="46">
        <v>0</v>
      </c>
      <c r="J389" s="46">
        <v>0</v>
      </c>
      <c r="K389" s="46">
        <v>27</v>
      </c>
      <c r="L389" s="46">
        <v>27</v>
      </c>
      <c r="M389" s="48">
        <v>0</v>
      </c>
    </row>
    <row r="390" spans="1:13" x14ac:dyDescent="0.35">
      <c r="A390" t="s">
        <v>197</v>
      </c>
      <c r="B390" t="s">
        <v>13</v>
      </c>
      <c r="C390" t="s">
        <v>154</v>
      </c>
      <c r="D390" t="s">
        <v>146</v>
      </c>
      <c r="E390" t="s">
        <v>198</v>
      </c>
      <c r="F390" t="s">
        <v>199</v>
      </c>
      <c r="G390" t="s">
        <v>18</v>
      </c>
      <c r="H390" s="46">
        <v>2</v>
      </c>
      <c r="I390" s="46">
        <v>0</v>
      </c>
      <c r="J390" s="46">
        <v>1</v>
      </c>
      <c r="K390" s="46">
        <v>34</v>
      </c>
      <c r="L390" s="46">
        <v>34</v>
      </c>
      <c r="M390" s="48">
        <v>5.8823529411764698E-2</v>
      </c>
    </row>
    <row r="391" spans="1:13" x14ac:dyDescent="0.35">
      <c r="A391" t="s">
        <v>197</v>
      </c>
      <c r="B391" t="s">
        <v>13</v>
      </c>
      <c r="C391" t="s">
        <v>148</v>
      </c>
      <c r="D391" t="s">
        <v>146</v>
      </c>
      <c r="E391" t="s">
        <v>198</v>
      </c>
      <c r="F391" t="s">
        <v>199</v>
      </c>
      <c r="G391" t="s">
        <v>18</v>
      </c>
      <c r="H391" s="46">
        <v>3</v>
      </c>
      <c r="I391" s="46">
        <v>0</v>
      </c>
      <c r="J391" s="46">
        <v>2</v>
      </c>
      <c r="K391" s="46">
        <v>185</v>
      </c>
      <c r="L391" s="46">
        <v>182</v>
      </c>
      <c r="M391" s="48">
        <v>1.6483516483516501E-2</v>
      </c>
    </row>
    <row r="392" spans="1:13" x14ac:dyDescent="0.35">
      <c r="A392" t="s">
        <v>197</v>
      </c>
      <c r="B392" t="s">
        <v>13</v>
      </c>
      <c r="C392" t="s">
        <v>155</v>
      </c>
      <c r="D392" t="s">
        <v>146</v>
      </c>
      <c r="E392" t="s">
        <v>198</v>
      </c>
      <c r="F392" t="s">
        <v>199</v>
      </c>
      <c r="G392" t="s">
        <v>18</v>
      </c>
      <c r="H392" s="46">
        <v>4</v>
      </c>
      <c r="I392" s="46">
        <v>0</v>
      </c>
      <c r="J392" s="46">
        <v>1</v>
      </c>
      <c r="K392" s="46">
        <v>55</v>
      </c>
      <c r="L392" s="46">
        <v>54</v>
      </c>
      <c r="M392" s="48">
        <v>7.4074074074074098E-2</v>
      </c>
    </row>
    <row r="393" spans="1:13" x14ac:dyDescent="0.35">
      <c r="A393" t="s">
        <v>197</v>
      </c>
      <c r="B393" t="s">
        <v>13</v>
      </c>
      <c r="C393" t="s">
        <v>156</v>
      </c>
      <c r="D393" t="s">
        <v>146</v>
      </c>
      <c r="E393" t="s">
        <v>198</v>
      </c>
      <c r="F393" t="s">
        <v>199</v>
      </c>
      <c r="G393" t="s">
        <v>18</v>
      </c>
      <c r="H393" s="46">
        <v>1</v>
      </c>
      <c r="I393" s="46">
        <v>0</v>
      </c>
      <c r="J393" s="46">
        <v>1</v>
      </c>
      <c r="K393" s="46">
        <v>20</v>
      </c>
      <c r="L393" s="46">
        <v>20</v>
      </c>
      <c r="M393" s="48">
        <v>0.05</v>
      </c>
    </row>
    <row r="394" spans="1:13" x14ac:dyDescent="0.35">
      <c r="A394" t="s">
        <v>197</v>
      </c>
      <c r="B394" t="s">
        <v>13</v>
      </c>
      <c r="C394" t="s">
        <v>157</v>
      </c>
      <c r="D394" t="s">
        <v>146</v>
      </c>
      <c r="E394" t="s">
        <v>198</v>
      </c>
      <c r="F394" t="s">
        <v>199</v>
      </c>
      <c r="G394" t="s">
        <v>18</v>
      </c>
      <c r="H394" s="46">
        <v>2</v>
      </c>
      <c r="I394" s="46">
        <v>0</v>
      </c>
      <c r="J394" s="46">
        <v>0</v>
      </c>
      <c r="K394" s="46">
        <v>518</v>
      </c>
      <c r="L394" s="46">
        <v>511</v>
      </c>
      <c r="M394" s="48">
        <v>3.9138943248532296E-3</v>
      </c>
    </row>
    <row r="395" spans="1:13" x14ac:dyDescent="0.35">
      <c r="A395" t="s">
        <v>197</v>
      </c>
      <c r="B395" t="s">
        <v>13</v>
      </c>
      <c r="C395" t="s">
        <v>158</v>
      </c>
      <c r="D395" t="s">
        <v>146</v>
      </c>
      <c r="E395" t="s">
        <v>198</v>
      </c>
      <c r="F395" t="s">
        <v>199</v>
      </c>
      <c r="G395" t="s">
        <v>18</v>
      </c>
      <c r="H395" s="46">
        <v>3</v>
      </c>
      <c r="I395" s="46">
        <v>0</v>
      </c>
      <c r="J395" s="46">
        <v>1</v>
      </c>
      <c r="K395" s="46">
        <v>507</v>
      </c>
      <c r="L395" s="46">
        <v>507</v>
      </c>
      <c r="M395" s="48">
        <v>5.9171597633136102E-3</v>
      </c>
    </row>
    <row r="396" spans="1:13" x14ac:dyDescent="0.35">
      <c r="A396" t="s">
        <v>197</v>
      </c>
      <c r="B396" t="s">
        <v>13</v>
      </c>
      <c r="C396" t="s">
        <v>149</v>
      </c>
      <c r="D396" t="s">
        <v>146</v>
      </c>
      <c r="E396" t="s">
        <v>200</v>
      </c>
      <c r="F396" t="s">
        <v>199</v>
      </c>
      <c r="G396" t="s">
        <v>20</v>
      </c>
      <c r="H396" s="46">
        <v>0</v>
      </c>
      <c r="I396" s="46">
        <v>0</v>
      </c>
      <c r="J396" s="46">
        <v>0</v>
      </c>
      <c r="K396" s="46">
        <v>154</v>
      </c>
      <c r="L396" s="46">
        <v>151</v>
      </c>
      <c r="M396" s="48">
        <v>0</v>
      </c>
    </row>
    <row r="397" spans="1:13" x14ac:dyDescent="0.35">
      <c r="A397" t="s">
        <v>197</v>
      </c>
      <c r="B397" t="s">
        <v>13</v>
      </c>
      <c r="C397" t="s">
        <v>150</v>
      </c>
      <c r="D397" t="s">
        <v>146</v>
      </c>
      <c r="E397" t="s">
        <v>200</v>
      </c>
      <c r="F397" t="s">
        <v>199</v>
      </c>
      <c r="G397" t="s">
        <v>20</v>
      </c>
      <c r="H397" s="46">
        <v>0</v>
      </c>
      <c r="I397" s="46">
        <v>0</v>
      </c>
      <c r="J397" s="46">
        <v>0</v>
      </c>
      <c r="K397" s="46">
        <v>68</v>
      </c>
      <c r="L397" s="46">
        <v>66</v>
      </c>
      <c r="M397" s="48">
        <v>0</v>
      </c>
    </row>
    <row r="398" spans="1:13" x14ac:dyDescent="0.35">
      <c r="A398" t="s">
        <v>197</v>
      </c>
      <c r="B398" t="s">
        <v>13</v>
      </c>
      <c r="C398" t="s">
        <v>151</v>
      </c>
      <c r="D398" t="s">
        <v>146</v>
      </c>
      <c r="E398" t="s">
        <v>200</v>
      </c>
      <c r="F398" t="s">
        <v>199</v>
      </c>
      <c r="G398" t="s">
        <v>20</v>
      </c>
      <c r="H398" s="46">
        <v>4</v>
      </c>
      <c r="I398" s="46">
        <v>0</v>
      </c>
      <c r="J398" s="46">
        <v>1</v>
      </c>
      <c r="K398" s="46">
        <v>26</v>
      </c>
      <c r="L398" s="46">
        <v>26</v>
      </c>
      <c r="M398" s="48">
        <v>0.15384615384615399</v>
      </c>
    </row>
    <row r="399" spans="1:13" x14ac:dyDescent="0.35">
      <c r="A399" t="s">
        <v>197</v>
      </c>
      <c r="B399" t="s">
        <v>13</v>
      </c>
      <c r="C399" t="s">
        <v>152</v>
      </c>
      <c r="D399" t="s">
        <v>146</v>
      </c>
      <c r="E399" t="s">
        <v>200</v>
      </c>
      <c r="F399" t="s">
        <v>199</v>
      </c>
      <c r="G399" t="s">
        <v>20</v>
      </c>
      <c r="H399" s="46">
        <v>6</v>
      </c>
      <c r="I399" s="46">
        <v>0</v>
      </c>
      <c r="J399" s="46">
        <v>3</v>
      </c>
      <c r="K399" s="46">
        <v>17</v>
      </c>
      <c r="L399" s="46">
        <v>16</v>
      </c>
      <c r="M399" s="48">
        <v>0.375</v>
      </c>
    </row>
    <row r="400" spans="1:13" x14ac:dyDescent="0.35">
      <c r="A400" t="s">
        <v>197</v>
      </c>
      <c r="B400" t="s">
        <v>13</v>
      </c>
      <c r="C400" t="s">
        <v>153</v>
      </c>
      <c r="D400" t="s">
        <v>146</v>
      </c>
      <c r="E400" t="s">
        <v>200</v>
      </c>
      <c r="F400" t="s">
        <v>199</v>
      </c>
      <c r="G400" t="s">
        <v>20</v>
      </c>
      <c r="H400" s="46">
        <v>1</v>
      </c>
      <c r="I400" s="46">
        <v>0</v>
      </c>
      <c r="J400" s="46">
        <v>0</v>
      </c>
      <c r="K400" s="46">
        <v>33</v>
      </c>
      <c r="L400" s="46">
        <v>33</v>
      </c>
      <c r="M400" s="48">
        <v>3.03030303030303E-2</v>
      </c>
    </row>
    <row r="401" spans="1:13" x14ac:dyDescent="0.35">
      <c r="A401" t="s">
        <v>197</v>
      </c>
      <c r="B401" t="s">
        <v>13</v>
      </c>
      <c r="C401" t="s">
        <v>154</v>
      </c>
      <c r="D401" t="s">
        <v>146</v>
      </c>
      <c r="E401" t="s">
        <v>200</v>
      </c>
      <c r="F401" t="s">
        <v>199</v>
      </c>
      <c r="G401" t="s">
        <v>20</v>
      </c>
      <c r="H401" s="46">
        <v>1</v>
      </c>
      <c r="I401" s="46">
        <v>0</v>
      </c>
      <c r="J401" s="46">
        <v>0</v>
      </c>
      <c r="K401" s="46">
        <v>34</v>
      </c>
      <c r="L401" s="46">
        <v>32</v>
      </c>
      <c r="M401" s="48">
        <v>3.125E-2</v>
      </c>
    </row>
    <row r="402" spans="1:13" x14ac:dyDescent="0.35">
      <c r="A402" t="s">
        <v>197</v>
      </c>
      <c r="B402" t="s">
        <v>13</v>
      </c>
      <c r="C402" t="s">
        <v>148</v>
      </c>
      <c r="D402" t="s">
        <v>146</v>
      </c>
      <c r="E402" t="s">
        <v>200</v>
      </c>
      <c r="F402" t="s">
        <v>199</v>
      </c>
      <c r="G402" t="s">
        <v>20</v>
      </c>
      <c r="H402" s="46">
        <v>5</v>
      </c>
      <c r="I402" s="46">
        <v>0</v>
      </c>
      <c r="J402" s="46">
        <v>2</v>
      </c>
      <c r="K402" s="46">
        <v>218</v>
      </c>
      <c r="L402" s="46">
        <v>217</v>
      </c>
      <c r="M402" s="48">
        <v>2.3041474654377898E-2</v>
      </c>
    </row>
    <row r="403" spans="1:13" x14ac:dyDescent="0.35">
      <c r="A403" t="s">
        <v>197</v>
      </c>
      <c r="B403" t="s">
        <v>13</v>
      </c>
      <c r="C403" t="s">
        <v>155</v>
      </c>
      <c r="D403" t="s">
        <v>146</v>
      </c>
      <c r="E403" t="s">
        <v>200</v>
      </c>
      <c r="F403" t="s">
        <v>199</v>
      </c>
      <c r="G403" t="s">
        <v>20</v>
      </c>
      <c r="H403" s="46">
        <v>3</v>
      </c>
      <c r="I403" s="46">
        <v>0</v>
      </c>
      <c r="J403" s="46">
        <v>1</v>
      </c>
      <c r="K403" s="46">
        <v>56</v>
      </c>
      <c r="L403" s="46">
        <v>56</v>
      </c>
      <c r="M403" s="48">
        <v>5.3571428571428603E-2</v>
      </c>
    </row>
    <row r="404" spans="1:13" x14ac:dyDescent="0.35">
      <c r="A404" t="s">
        <v>197</v>
      </c>
      <c r="B404" t="s">
        <v>13</v>
      </c>
      <c r="C404" t="s">
        <v>156</v>
      </c>
      <c r="D404" t="s">
        <v>146</v>
      </c>
      <c r="E404" t="s">
        <v>200</v>
      </c>
      <c r="F404" t="s">
        <v>199</v>
      </c>
      <c r="G404" t="s">
        <v>20</v>
      </c>
      <c r="H404" s="46">
        <v>4</v>
      </c>
      <c r="I404" s="46">
        <v>0</v>
      </c>
      <c r="J404" s="46">
        <v>2</v>
      </c>
      <c r="K404" s="46">
        <v>22</v>
      </c>
      <c r="L404" s="46">
        <v>22</v>
      </c>
      <c r="M404" s="48">
        <v>0.18181818181818199</v>
      </c>
    </row>
    <row r="405" spans="1:13" x14ac:dyDescent="0.35">
      <c r="A405" t="s">
        <v>197</v>
      </c>
      <c r="B405" t="s">
        <v>13</v>
      </c>
      <c r="C405" t="s">
        <v>157</v>
      </c>
      <c r="D405" t="s">
        <v>146</v>
      </c>
      <c r="E405" t="s">
        <v>200</v>
      </c>
      <c r="F405" t="s">
        <v>199</v>
      </c>
      <c r="G405" t="s">
        <v>20</v>
      </c>
      <c r="H405" s="46">
        <v>3</v>
      </c>
      <c r="I405" s="46">
        <v>0</v>
      </c>
      <c r="J405" s="46">
        <v>1</v>
      </c>
      <c r="K405" s="46">
        <v>553</v>
      </c>
      <c r="L405" s="46">
        <v>531</v>
      </c>
      <c r="M405" s="48">
        <v>5.6497175141242903E-3</v>
      </c>
    </row>
    <row r="406" spans="1:13" x14ac:dyDescent="0.35">
      <c r="A406" t="s">
        <v>197</v>
      </c>
      <c r="B406" t="s">
        <v>13</v>
      </c>
      <c r="C406" t="s">
        <v>158</v>
      </c>
      <c r="D406" t="s">
        <v>146</v>
      </c>
      <c r="E406" t="s">
        <v>200</v>
      </c>
      <c r="F406" t="s">
        <v>199</v>
      </c>
      <c r="G406" t="s">
        <v>20</v>
      </c>
      <c r="H406" s="46">
        <v>3</v>
      </c>
      <c r="I406" s="46">
        <v>0</v>
      </c>
      <c r="J406" s="46">
        <v>1</v>
      </c>
      <c r="K406" s="46">
        <v>572</v>
      </c>
      <c r="L406" s="46">
        <v>572</v>
      </c>
      <c r="M406" s="48">
        <v>5.2447552447552398E-3</v>
      </c>
    </row>
    <row r="407" spans="1:13" x14ac:dyDescent="0.35">
      <c r="A407" t="s">
        <v>197</v>
      </c>
      <c r="B407" t="s">
        <v>13</v>
      </c>
      <c r="C407" t="s">
        <v>148</v>
      </c>
      <c r="D407" t="s">
        <v>146</v>
      </c>
      <c r="E407" t="s">
        <v>201</v>
      </c>
      <c r="F407" t="s">
        <v>199</v>
      </c>
      <c r="G407" t="s">
        <v>17</v>
      </c>
      <c r="H407" s="46">
        <v>7</v>
      </c>
      <c r="I407" s="46">
        <v>0</v>
      </c>
      <c r="J407" s="46">
        <v>0</v>
      </c>
      <c r="K407" s="46">
        <v>342</v>
      </c>
      <c r="L407" s="46">
        <v>342</v>
      </c>
      <c r="M407" s="48">
        <v>2.0467836257309899E-2</v>
      </c>
    </row>
    <row r="408" spans="1:13" x14ac:dyDescent="0.35">
      <c r="A408" t="s">
        <v>197</v>
      </c>
      <c r="B408" t="s">
        <v>13</v>
      </c>
      <c r="C408" t="s">
        <v>150</v>
      </c>
      <c r="D408" t="s">
        <v>146</v>
      </c>
      <c r="E408" t="s">
        <v>202</v>
      </c>
      <c r="F408" t="s">
        <v>199</v>
      </c>
      <c r="G408" t="s">
        <v>17</v>
      </c>
      <c r="H408" s="46">
        <v>1</v>
      </c>
      <c r="I408" s="46">
        <v>0</v>
      </c>
      <c r="J408" s="46">
        <v>0</v>
      </c>
      <c r="K408" s="46">
        <v>69</v>
      </c>
      <c r="L408" s="46">
        <v>69</v>
      </c>
      <c r="M408" s="48">
        <v>1.4492753623188401E-2</v>
      </c>
    </row>
    <row r="409" spans="1:13" x14ac:dyDescent="0.35">
      <c r="A409" t="s">
        <v>197</v>
      </c>
      <c r="B409" t="s">
        <v>13</v>
      </c>
      <c r="C409" t="s">
        <v>151</v>
      </c>
      <c r="D409" t="s">
        <v>146</v>
      </c>
      <c r="E409" t="s">
        <v>202</v>
      </c>
      <c r="F409" t="s">
        <v>199</v>
      </c>
      <c r="G409" t="s">
        <v>17</v>
      </c>
      <c r="H409" s="46">
        <v>0</v>
      </c>
      <c r="I409" s="46">
        <v>0</v>
      </c>
      <c r="J409" s="46">
        <v>0</v>
      </c>
      <c r="K409" s="46">
        <v>47</v>
      </c>
      <c r="L409" s="46">
        <v>44</v>
      </c>
      <c r="M409" s="48">
        <v>0</v>
      </c>
    </row>
    <row r="410" spans="1:13" x14ac:dyDescent="0.35">
      <c r="A410" t="s">
        <v>197</v>
      </c>
      <c r="B410" t="s">
        <v>13</v>
      </c>
      <c r="C410" t="s">
        <v>152</v>
      </c>
      <c r="D410" t="s">
        <v>146</v>
      </c>
      <c r="E410" t="s">
        <v>202</v>
      </c>
      <c r="F410" t="s">
        <v>199</v>
      </c>
      <c r="G410" t="s">
        <v>17</v>
      </c>
      <c r="H410" s="46">
        <v>6</v>
      </c>
      <c r="I410" s="46">
        <v>0</v>
      </c>
      <c r="J410" s="46">
        <v>3</v>
      </c>
      <c r="K410" s="46">
        <v>18</v>
      </c>
      <c r="L410" s="46">
        <v>17</v>
      </c>
      <c r="M410" s="48">
        <v>0.35294117647058798</v>
      </c>
    </row>
    <row r="411" spans="1:13" x14ac:dyDescent="0.35">
      <c r="A411" t="s">
        <v>197</v>
      </c>
      <c r="B411" t="s">
        <v>13</v>
      </c>
      <c r="C411" t="s">
        <v>153</v>
      </c>
      <c r="D411" t="s">
        <v>146</v>
      </c>
      <c r="E411" t="s">
        <v>202</v>
      </c>
      <c r="F411" t="s">
        <v>199</v>
      </c>
      <c r="G411" t="s">
        <v>17</v>
      </c>
      <c r="H411" s="46">
        <v>0</v>
      </c>
      <c r="I411" s="46">
        <v>0</v>
      </c>
      <c r="J411" s="46">
        <v>0</v>
      </c>
      <c r="K411" s="46">
        <v>31</v>
      </c>
      <c r="L411" s="46">
        <v>31</v>
      </c>
      <c r="M411" s="48">
        <v>0</v>
      </c>
    </row>
    <row r="412" spans="1:13" x14ac:dyDescent="0.35">
      <c r="A412" t="s">
        <v>197</v>
      </c>
      <c r="B412" t="s">
        <v>13</v>
      </c>
      <c r="C412" t="s">
        <v>154</v>
      </c>
      <c r="D412" t="s">
        <v>146</v>
      </c>
      <c r="E412" t="s">
        <v>202</v>
      </c>
      <c r="F412" t="s">
        <v>199</v>
      </c>
      <c r="G412" t="s">
        <v>17</v>
      </c>
      <c r="H412" s="46">
        <v>0</v>
      </c>
      <c r="I412" s="46">
        <v>0</v>
      </c>
      <c r="J412" s="46">
        <v>0</v>
      </c>
      <c r="K412" s="46">
        <v>48</v>
      </c>
      <c r="L412" s="46">
        <v>41</v>
      </c>
      <c r="M412" s="48">
        <v>0</v>
      </c>
    </row>
    <row r="413" spans="1:13" x14ac:dyDescent="0.35">
      <c r="A413" t="s">
        <v>197</v>
      </c>
      <c r="B413" t="s">
        <v>13</v>
      </c>
      <c r="C413" t="s">
        <v>155</v>
      </c>
      <c r="D413" t="s">
        <v>146</v>
      </c>
      <c r="E413" t="s">
        <v>202</v>
      </c>
      <c r="F413" t="s">
        <v>199</v>
      </c>
      <c r="G413" t="s">
        <v>17</v>
      </c>
      <c r="H413" s="46">
        <v>3</v>
      </c>
      <c r="I413" s="46">
        <v>0</v>
      </c>
      <c r="J413" s="46">
        <v>1</v>
      </c>
      <c r="K413" s="46">
        <v>76</v>
      </c>
      <c r="L413" s="46">
        <v>76</v>
      </c>
      <c r="M413" s="48">
        <v>3.94736842105263E-2</v>
      </c>
    </row>
    <row r="414" spans="1:13" x14ac:dyDescent="0.35">
      <c r="A414" t="s">
        <v>197</v>
      </c>
      <c r="B414" t="s">
        <v>13</v>
      </c>
      <c r="C414" t="s">
        <v>156</v>
      </c>
      <c r="D414" t="s">
        <v>146</v>
      </c>
      <c r="E414" t="s">
        <v>202</v>
      </c>
      <c r="F414" t="s">
        <v>199</v>
      </c>
      <c r="G414" t="s">
        <v>17</v>
      </c>
      <c r="H414" s="46">
        <v>2</v>
      </c>
      <c r="I414" s="46">
        <v>0</v>
      </c>
      <c r="J414" s="46">
        <v>2</v>
      </c>
      <c r="K414" s="46">
        <v>23</v>
      </c>
      <c r="L414" s="46">
        <v>21</v>
      </c>
      <c r="M414" s="48">
        <v>9.5238095238095205E-2</v>
      </c>
    </row>
    <row r="415" spans="1:13" x14ac:dyDescent="0.35">
      <c r="A415" t="s">
        <v>197</v>
      </c>
      <c r="B415" t="s">
        <v>13</v>
      </c>
      <c r="C415" t="s">
        <v>157</v>
      </c>
      <c r="D415" t="s">
        <v>146</v>
      </c>
      <c r="E415" t="s">
        <v>202</v>
      </c>
      <c r="F415" t="s">
        <v>199</v>
      </c>
      <c r="G415" t="s">
        <v>17</v>
      </c>
      <c r="H415" s="46">
        <v>4</v>
      </c>
      <c r="I415" s="46">
        <v>0</v>
      </c>
      <c r="J415" s="46">
        <v>0</v>
      </c>
      <c r="K415" s="46">
        <v>476</v>
      </c>
      <c r="L415" s="46">
        <v>471</v>
      </c>
      <c r="M415" s="48">
        <v>8.4925690021231404E-3</v>
      </c>
    </row>
    <row r="416" spans="1:13" x14ac:dyDescent="0.35">
      <c r="A416" t="s">
        <v>197</v>
      </c>
      <c r="B416" t="s">
        <v>13</v>
      </c>
      <c r="C416" t="s">
        <v>158</v>
      </c>
      <c r="D416" t="s">
        <v>146</v>
      </c>
      <c r="E416" t="s">
        <v>202</v>
      </c>
      <c r="F416" t="s">
        <v>199</v>
      </c>
      <c r="G416" t="s">
        <v>17</v>
      </c>
      <c r="H416" s="46">
        <v>9</v>
      </c>
      <c r="I416" s="46">
        <v>0</v>
      </c>
      <c r="J416" s="46">
        <v>1</v>
      </c>
      <c r="K416" s="46">
        <v>776</v>
      </c>
      <c r="L416" s="46">
        <v>776</v>
      </c>
      <c r="M416" s="48">
        <v>1.1597938144329901E-2</v>
      </c>
    </row>
    <row r="417" spans="1:13" x14ac:dyDescent="0.35">
      <c r="A417" t="s">
        <v>197</v>
      </c>
      <c r="B417" t="s">
        <v>13</v>
      </c>
      <c r="C417" t="s">
        <v>145</v>
      </c>
      <c r="D417" t="s">
        <v>146</v>
      </c>
      <c r="E417" t="s">
        <v>203</v>
      </c>
      <c r="F417" t="s">
        <v>199</v>
      </c>
      <c r="G417" t="s">
        <v>199</v>
      </c>
      <c r="H417" s="46">
        <v>7</v>
      </c>
      <c r="I417" s="46">
        <v>0</v>
      </c>
      <c r="J417" s="46">
        <v>1</v>
      </c>
      <c r="K417" s="46">
        <v>13</v>
      </c>
      <c r="L417" s="46">
        <v>13</v>
      </c>
      <c r="M417" s="48">
        <v>0.53846153846153799</v>
      </c>
    </row>
    <row r="418" spans="1:13" x14ac:dyDescent="0.35">
      <c r="A418" t="s">
        <v>197</v>
      </c>
      <c r="B418" t="s">
        <v>13</v>
      </c>
      <c r="C418" t="s">
        <v>149</v>
      </c>
      <c r="D418" t="s">
        <v>146</v>
      </c>
      <c r="E418" t="s">
        <v>204</v>
      </c>
      <c r="F418" t="s">
        <v>199</v>
      </c>
      <c r="G418" t="s">
        <v>17</v>
      </c>
      <c r="H418" s="46">
        <v>1</v>
      </c>
      <c r="I418" s="46">
        <v>0</v>
      </c>
      <c r="J418" s="46">
        <v>1</v>
      </c>
      <c r="K418" s="46">
        <v>175</v>
      </c>
      <c r="L418" s="46">
        <v>167</v>
      </c>
      <c r="M418" s="48">
        <v>5.9880239520958096E-3</v>
      </c>
    </row>
    <row r="419" spans="1:13" x14ac:dyDescent="0.35">
      <c r="A419" t="s">
        <v>197</v>
      </c>
      <c r="B419" t="s">
        <v>13</v>
      </c>
      <c r="C419" t="s">
        <v>150</v>
      </c>
      <c r="D419" t="s">
        <v>146</v>
      </c>
      <c r="E419" t="s">
        <v>204</v>
      </c>
      <c r="F419" t="s">
        <v>199</v>
      </c>
      <c r="G419" t="s">
        <v>17</v>
      </c>
      <c r="H419" s="46">
        <v>0</v>
      </c>
      <c r="I419" s="46">
        <v>0</v>
      </c>
      <c r="J419" s="46">
        <v>0</v>
      </c>
      <c r="K419" s="46">
        <v>66</v>
      </c>
      <c r="L419" s="46">
        <v>65</v>
      </c>
      <c r="M419" s="48">
        <v>0</v>
      </c>
    </row>
    <row r="420" spans="1:13" x14ac:dyDescent="0.35">
      <c r="A420" t="s">
        <v>197</v>
      </c>
      <c r="B420" t="s">
        <v>13</v>
      </c>
      <c r="C420" t="s">
        <v>151</v>
      </c>
      <c r="D420" t="s">
        <v>146</v>
      </c>
      <c r="E420" t="s">
        <v>204</v>
      </c>
      <c r="F420" t="s">
        <v>199</v>
      </c>
      <c r="G420" t="s">
        <v>17</v>
      </c>
      <c r="H420" s="46">
        <v>3</v>
      </c>
      <c r="I420" s="46">
        <v>0</v>
      </c>
      <c r="J420" s="46">
        <v>0</v>
      </c>
      <c r="K420" s="46">
        <v>70</v>
      </c>
      <c r="L420" s="46">
        <v>65</v>
      </c>
      <c r="M420" s="48">
        <v>4.6153846153846198E-2</v>
      </c>
    </row>
    <row r="421" spans="1:13" x14ac:dyDescent="0.35">
      <c r="A421" t="s">
        <v>197</v>
      </c>
      <c r="B421" t="s">
        <v>13</v>
      </c>
      <c r="C421" t="s">
        <v>152</v>
      </c>
      <c r="D421" t="s">
        <v>146</v>
      </c>
      <c r="E421" t="s">
        <v>204</v>
      </c>
      <c r="F421" t="s">
        <v>199</v>
      </c>
      <c r="G421" t="s">
        <v>17</v>
      </c>
      <c r="H421" s="46">
        <v>5</v>
      </c>
      <c r="I421" s="46">
        <v>0</v>
      </c>
      <c r="J421" s="46">
        <v>2</v>
      </c>
      <c r="K421" s="46">
        <v>20</v>
      </c>
      <c r="L421" s="46">
        <v>17</v>
      </c>
      <c r="M421" s="48">
        <v>0.29411764705882398</v>
      </c>
    </row>
    <row r="422" spans="1:13" x14ac:dyDescent="0.35">
      <c r="A422" t="s">
        <v>197</v>
      </c>
      <c r="B422" t="s">
        <v>13</v>
      </c>
      <c r="C422" t="s">
        <v>153</v>
      </c>
      <c r="D422" t="s">
        <v>146</v>
      </c>
      <c r="E422" t="s">
        <v>204</v>
      </c>
      <c r="F422" t="s">
        <v>199</v>
      </c>
      <c r="G422" t="s">
        <v>17</v>
      </c>
      <c r="H422" s="46">
        <v>0</v>
      </c>
      <c r="I422" s="46">
        <v>0</v>
      </c>
      <c r="J422" s="46">
        <v>0</v>
      </c>
      <c r="K422" s="46">
        <v>47</v>
      </c>
      <c r="L422" s="46">
        <v>44</v>
      </c>
      <c r="M422" s="48">
        <v>0</v>
      </c>
    </row>
    <row r="423" spans="1:13" x14ac:dyDescent="0.35">
      <c r="A423" t="s">
        <v>197</v>
      </c>
      <c r="B423" t="s">
        <v>13</v>
      </c>
      <c r="C423" t="s">
        <v>154</v>
      </c>
      <c r="D423" t="s">
        <v>146</v>
      </c>
      <c r="E423" t="s">
        <v>204</v>
      </c>
      <c r="F423" t="s">
        <v>199</v>
      </c>
      <c r="G423" t="s">
        <v>17</v>
      </c>
      <c r="H423" s="46">
        <v>0</v>
      </c>
      <c r="I423" s="46">
        <v>0</v>
      </c>
      <c r="J423" s="46">
        <v>0</v>
      </c>
      <c r="K423" s="46">
        <v>67</v>
      </c>
      <c r="L423" s="46">
        <v>51</v>
      </c>
      <c r="M423" s="48">
        <v>0</v>
      </c>
    </row>
    <row r="424" spans="1:13" x14ac:dyDescent="0.35">
      <c r="A424" t="s">
        <v>197</v>
      </c>
      <c r="B424" t="s">
        <v>13</v>
      </c>
      <c r="C424" t="s">
        <v>155</v>
      </c>
      <c r="D424" t="s">
        <v>146</v>
      </c>
      <c r="E424" t="s">
        <v>204</v>
      </c>
      <c r="F424" t="s">
        <v>199</v>
      </c>
      <c r="G424" t="s">
        <v>17</v>
      </c>
      <c r="H424" s="46">
        <v>4</v>
      </c>
      <c r="I424" s="46">
        <v>0</v>
      </c>
      <c r="J424" s="46">
        <v>2</v>
      </c>
      <c r="K424" s="46">
        <v>85</v>
      </c>
      <c r="L424" s="46">
        <v>84</v>
      </c>
      <c r="M424" s="48">
        <v>4.7619047619047603E-2</v>
      </c>
    </row>
    <row r="425" spans="1:13" x14ac:dyDescent="0.35">
      <c r="A425" t="s">
        <v>197</v>
      </c>
      <c r="B425" t="s">
        <v>13</v>
      </c>
      <c r="C425" t="s">
        <v>156</v>
      </c>
      <c r="D425" t="s">
        <v>146</v>
      </c>
      <c r="E425" t="s">
        <v>204</v>
      </c>
      <c r="F425" t="s">
        <v>199</v>
      </c>
      <c r="G425" t="s">
        <v>17</v>
      </c>
      <c r="H425" s="46">
        <v>3</v>
      </c>
      <c r="I425" s="46">
        <v>0</v>
      </c>
      <c r="J425" s="46">
        <v>1</v>
      </c>
      <c r="K425" s="46">
        <v>28</v>
      </c>
      <c r="L425" s="46">
        <v>25</v>
      </c>
      <c r="M425" s="48">
        <v>0.12</v>
      </c>
    </row>
    <row r="426" spans="1:13" x14ac:dyDescent="0.35">
      <c r="A426" t="s">
        <v>197</v>
      </c>
      <c r="B426" t="s">
        <v>13</v>
      </c>
      <c r="C426" t="s">
        <v>157</v>
      </c>
      <c r="D426" t="s">
        <v>146</v>
      </c>
      <c r="E426" t="s">
        <v>204</v>
      </c>
      <c r="F426" t="s">
        <v>199</v>
      </c>
      <c r="G426" t="s">
        <v>17</v>
      </c>
      <c r="H426" s="46">
        <v>3</v>
      </c>
      <c r="I426" s="46">
        <v>0</v>
      </c>
      <c r="J426" s="46">
        <v>0</v>
      </c>
      <c r="K426" s="46">
        <v>495</v>
      </c>
      <c r="L426" s="46">
        <v>490</v>
      </c>
      <c r="M426" s="48">
        <v>6.1224489795918399E-3</v>
      </c>
    </row>
    <row r="427" spans="1:13" x14ac:dyDescent="0.35">
      <c r="A427" t="s">
        <v>197</v>
      </c>
      <c r="B427" t="s">
        <v>13</v>
      </c>
      <c r="C427" t="s">
        <v>158</v>
      </c>
      <c r="D427" t="s">
        <v>146</v>
      </c>
      <c r="E427" t="s">
        <v>204</v>
      </c>
      <c r="F427" t="s">
        <v>199</v>
      </c>
      <c r="G427" t="s">
        <v>17</v>
      </c>
      <c r="H427" s="46">
        <v>2</v>
      </c>
      <c r="I427" s="46">
        <v>0</v>
      </c>
      <c r="J427" s="46">
        <v>1</v>
      </c>
      <c r="K427" s="46">
        <v>497</v>
      </c>
      <c r="L427" s="46">
        <v>497</v>
      </c>
      <c r="M427" s="48">
        <v>4.0241448692152904E-3</v>
      </c>
    </row>
    <row r="428" spans="1:13" x14ac:dyDescent="0.35">
      <c r="A428" t="s">
        <v>197</v>
      </c>
      <c r="B428" t="s">
        <v>13</v>
      </c>
      <c r="C428" t="s">
        <v>148</v>
      </c>
      <c r="D428" t="s">
        <v>146</v>
      </c>
      <c r="E428" t="s">
        <v>204</v>
      </c>
      <c r="F428" t="s">
        <v>199</v>
      </c>
      <c r="G428" t="s">
        <v>17</v>
      </c>
      <c r="H428" s="46">
        <v>9</v>
      </c>
      <c r="I428" s="46">
        <v>0</v>
      </c>
      <c r="J428" s="46">
        <v>2</v>
      </c>
      <c r="K428" s="46">
        <v>298</v>
      </c>
      <c r="L428" s="46">
        <v>293</v>
      </c>
      <c r="M428" s="48">
        <v>3.0716723549488099E-2</v>
      </c>
    </row>
    <row r="429" spans="1:13" x14ac:dyDescent="0.35">
      <c r="A429" t="s">
        <v>197</v>
      </c>
      <c r="B429" t="s">
        <v>13</v>
      </c>
      <c r="C429" t="s">
        <v>149</v>
      </c>
      <c r="D429" t="s">
        <v>146</v>
      </c>
      <c r="E429" t="s">
        <v>205</v>
      </c>
      <c r="F429" t="s">
        <v>199</v>
      </c>
      <c r="G429" t="s">
        <v>181</v>
      </c>
      <c r="H429" s="46">
        <v>5</v>
      </c>
      <c r="I429" s="46">
        <v>0</v>
      </c>
      <c r="J429" s="46">
        <v>2</v>
      </c>
      <c r="K429" s="46">
        <v>217</v>
      </c>
      <c r="L429" s="46">
        <v>208</v>
      </c>
      <c r="M429" s="48">
        <v>2.4038461538461502E-2</v>
      </c>
    </row>
    <row r="430" spans="1:13" x14ac:dyDescent="0.35">
      <c r="A430" t="s">
        <v>197</v>
      </c>
      <c r="B430" t="s">
        <v>13</v>
      </c>
      <c r="C430" t="s">
        <v>157</v>
      </c>
      <c r="D430" t="s">
        <v>146</v>
      </c>
      <c r="E430" t="s">
        <v>205</v>
      </c>
      <c r="F430" t="s">
        <v>199</v>
      </c>
      <c r="G430" t="s">
        <v>181</v>
      </c>
      <c r="H430" s="46">
        <v>8</v>
      </c>
      <c r="I430" s="46">
        <v>0</v>
      </c>
      <c r="J430" s="46">
        <v>1</v>
      </c>
      <c r="K430" s="46">
        <v>424</v>
      </c>
      <c r="L430" s="46">
        <v>418</v>
      </c>
      <c r="M430" s="48">
        <v>1.9138755980861202E-2</v>
      </c>
    </row>
    <row r="431" spans="1:13" x14ac:dyDescent="0.35">
      <c r="A431" t="s">
        <v>197</v>
      </c>
      <c r="B431" t="s">
        <v>13</v>
      </c>
      <c r="C431" t="s">
        <v>149</v>
      </c>
      <c r="D431" t="s">
        <v>146</v>
      </c>
      <c r="E431" t="s">
        <v>206</v>
      </c>
      <c r="F431" t="s">
        <v>199</v>
      </c>
      <c r="G431" t="s">
        <v>18</v>
      </c>
      <c r="H431" s="46">
        <v>2</v>
      </c>
      <c r="I431" s="46">
        <v>0</v>
      </c>
      <c r="J431" s="46">
        <v>0</v>
      </c>
      <c r="K431" s="46">
        <v>183</v>
      </c>
      <c r="L431" s="46">
        <v>173</v>
      </c>
      <c r="M431" s="48">
        <v>1.15606936416185E-2</v>
      </c>
    </row>
    <row r="432" spans="1:13" x14ac:dyDescent="0.35">
      <c r="A432" t="s">
        <v>197</v>
      </c>
      <c r="B432" t="s">
        <v>13</v>
      </c>
      <c r="C432" t="s">
        <v>150</v>
      </c>
      <c r="D432" t="s">
        <v>146</v>
      </c>
      <c r="E432" t="s">
        <v>206</v>
      </c>
      <c r="F432" t="s">
        <v>199</v>
      </c>
      <c r="G432" t="s">
        <v>18</v>
      </c>
      <c r="H432" s="46">
        <v>0</v>
      </c>
      <c r="I432" s="46">
        <v>0</v>
      </c>
      <c r="J432" s="46">
        <v>0</v>
      </c>
      <c r="K432" s="46">
        <v>76</v>
      </c>
      <c r="L432" s="46">
        <v>76</v>
      </c>
      <c r="M432" s="48">
        <v>0</v>
      </c>
    </row>
    <row r="433" spans="1:13" x14ac:dyDescent="0.35">
      <c r="A433" t="s">
        <v>197</v>
      </c>
      <c r="B433" t="s">
        <v>13</v>
      </c>
      <c r="C433" t="s">
        <v>151</v>
      </c>
      <c r="D433" t="s">
        <v>146</v>
      </c>
      <c r="E433" t="s">
        <v>206</v>
      </c>
      <c r="F433" t="s">
        <v>199</v>
      </c>
      <c r="G433" t="s">
        <v>18</v>
      </c>
      <c r="H433" s="46">
        <v>1</v>
      </c>
      <c r="I433" s="46">
        <v>0</v>
      </c>
      <c r="J433" s="46">
        <v>1</v>
      </c>
      <c r="K433" s="46">
        <v>39</v>
      </c>
      <c r="L433" s="46">
        <v>34</v>
      </c>
      <c r="M433" s="48">
        <v>2.9411764705882401E-2</v>
      </c>
    </row>
    <row r="434" spans="1:13" x14ac:dyDescent="0.35">
      <c r="A434" t="s">
        <v>197</v>
      </c>
      <c r="B434" t="s">
        <v>13</v>
      </c>
      <c r="C434" t="s">
        <v>152</v>
      </c>
      <c r="D434" t="s">
        <v>146</v>
      </c>
      <c r="E434" t="s">
        <v>206</v>
      </c>
      <c r="F434" t="s">
        <v>199</v>
      </c>
      <c r="G434" t="s">
        <v>18</v>
      </c>
      <c r="H434" s="46">
        <v>3</v>
      </c>
      <c r="I434" s="46">
        <v>0</v>
      </c>
      <c r="J434" s="46">
        <v>2</v>
      </c>
      <c r="K434" s="46">
        <v>19</v>
      </c>
      <c r="L434" s="46">
        <v>17</v>
      </c>
      <c r="M434" s="48">
        <v>0.17647058823529399</v>
      </c>
    </row>
    <row r="435" spans="1:13" x14ac:dyDescent="0.35">
      <c r="A435" t="s">
        <v>197</v>
      </c>
      <c r="B435" t="s">
        <v>13</v>
      </c>
      <c r="C435" t="s">
        <v>153</v>
      </c>
      <c r="D435" t="s">
        <v>146</v>
      </c>
      <c r="E435" t="s">
        <v>206</v>
      </c>
      <c r="F435" t="s">
        <v>199</v>
      </c>
      <c r="G435" t="s">
        <v>18</v>
      </c>
      <c r="H435" s="46">
        <v>0</v>
      </c>
      <c r="I435" s="46">
        <v>0</v>
      </c>
      <c r="J435" s="46">
        <v>0</v>
      </c>
      <c r="K435" s="46">
        <v>28</v>
      </c>
      <c r="L435" s="46">
        <v>28</v>
      </c>
      <c r="M435" s="48">
        <v>0</v>
      </c>
    </row>
    <row r="436" spans="1:13" x14ac:dyDescent="0.35">
      <c r="A436" t="s">
        <v>197</v>
      </c>
      <c r="B436" t="s">
        <v>13</v>
      </c>
      <c r="C436" t="s">
        <v>154</v>
      </c>
      <c r="D436" t="s">
        <v>146</v>
      </c>
      <c r="E436" t="s">
        <v>206</v>
      </c>
      <c r="F436" t="s">
        <v>199</v>
      </c>
      <c r="G436" t="s">
        <v>18</v>
      </c>
      <c r="H436" s="46">
        <v>1</v>
      </c>
      <c r="I436" s="46">
        <v>0</v>
      </c>
      <c r="J436" s="46">
        <v>1</v>
      </c>
      <c r="K436" s="46">
        <v>62</v>
      </c>
      <c r="L436" s="46">
        <v>44</v>
      </c>
      <c r="M436" s="48">
        <v>2.27272727272727E-2</v>
      </c>
    </row>
    <row r="437" spans="1:13" x14ac:dyDescent="0.35">
      <c r="A437" t="s">
        <v>197</v>
      </c>
      <c r="B437" t="s">
        <v>13</v>
      </c>
      <c r="C437" t="s">
        <v>148</v>
      </c>
      <c r="D437" t="s">
        <v>146</v>
      </c>
      <c r="E437" t="s">
        <v>206</v>
      </c>
      <c r="F437" t="s">
        <v>199</v>
      </c>
      <c r="G437" t="s">
        <v>18</v>
      </c>
      <c r="H437" s="46">
        <v>6</v>
      </c>
      <c r="I437" s="46">
        <v>0</v>
      </c>
      <c r="J437" s="46">
        <v>4</v>
      </c>
      <c r="K437" s="46">
        <v>285</v>
      </c>
      <c r="L437" s="46">
        <v>275</v>
      </c>
      <c r="M437" s="48">
        <v>2.1818181818181799E-2</v>
      </c>
    </row>
    <row r="438" spans="1:13" x14ac:dyDescent="0.35">
      <c r="A438" t="s">
        <v>197</v>
      </c>
      <c r="B438" t="s">
        <v>13</v>
      </c>
      <c r="C438" t="s">
        <v>155</v>
      </c>
      <c r="D438" t="s">
        <v>146</v>
      </c>
      <c r="E438" t="s">
        <v>206</v>
      </c>
      <c r="F438" t="s">
        <v>199</v>
      </c>
      <c r="G438" t="s">
        <v>18</v>
      </c>
      <c r="H438" s="46">
        <v>3</v>
      </c>
      <c r="I438" s="46">
        <v>0</v>
      </c>
      <c r="J438" s="46">
        <v>1</v>
      </c>
      <c r="K438" s="46">
        <v>172</v>
      </c>
      <c r="L438" s="46">
        <v>172</v>
      </c>
      <c r="M438" s="48">
        <v>1.74418604651163E-2</v>
      </c>
    </row>
    <row r="439" spans="1:13" x14ac:dyDescent="0.35">
      <c r="A439" t="s">
        <v>197</v>
      </c>
      <c r="B439" t="s">
        <v>13</v>
      </c>
      <c r="C439" t="s">
        <v>156</v>
      </c>
      <c r="D439" t="s">
        <v>146</v>
      </c>
      <c r="E439" t="s">
        <v>206</v>
      </c>
      <c r="F439" t="s">
        <v>199</v>
      </c>
      <c r="G439" t="s">
        <v>18</v>
      </c>
      <c r="H439" s="46">
        <v>3</v>
      </c>
      <c r="I439" s="46">
        <v>0</v>
      </c>
      <c r="J439" s="46">
        <v>2</v>
      </c>
      <c r="K439" s="46">
        <v>35</v>
      </c>
      <c r="L439" s="46">
        <v>32</v>
      </c>
      <c r="M439" s="48">
        <v>9.375E-2</v>
      </c>
    </row>
    <row r="440" spans="1:13" x14ac:dyDescent="0.35">
      <c r="A440" t="s">
        <v>197</v>
      </c>
      <c r="B440" t="s">
        <v>13</v>
      </c>
      <c r="C440" t="s">
        <v>157</v>
      </c>
      <c r="D440" t="s">
        <v>146</v>
      </c>
      <c r="E440" t="s">
        <v>206</v>
      </c>
      <c r="F440" t="s">
        <v>199</v>
      </c>
      <c r="G440" t="s">
        <v>18</v>
      </c>
      <c r="H440" s="46">
        <v>2</v>
      </c>
      <c r="I440" s="46">
        <v>0</v>
      </c>
      <c r="J440" s="46">
        <v>0</v>
      </c>
      <c r="K440" s="46">
        <v>404</v>
      </c>
      <c r="L440" s="46">
        <v>403</v>
      </c>
      <c r="M440" s="48">
        <v>4.96277915632754E-3</v>
      </c>
    </row>
    <row r="441" spans="1:13" x14ac:dyDescent="0.35">
      <c r="A441" t="s">
        <v>197</v>
      </c>
      <c r="B441" t="s">
        <v>13</v>
      </c>
      <c r="C441" t="s">
        <v>158</v>
      </c>
      <c r="D441" t="s">
        <v>146</v>
      </c>
      <c r="E441" t="s">
        <v>206</v>
      </c>
      <c r="F441" t="s">
        <v>199</v>
      </c>
      <c r="G441" t="s">
        <v>18</v>
      </c>
      <c r="H441" s="46">
        <v>2</v>
      </c>
      <c r="I441" s="46">
        <v>0</v>
      </c>
      <c r="J441" s="46">
        <v>2</v>
      </c>
      <c r="K441" s="46">
        <v>670</v>
      </c>
      <c r="L441" s="46">
        <v>670</v>
      </c>
      <c r="M441" s="48">
        <v>2.9850746268656699E-3</v>
      </c>
    </row>
    <row r="442" spans="1:13" x14ac:dyDescent="0.35">
      <c r="A442" t="s">
        <v>197</v>
      </c>
      <c r="B442" t="s">
        <v>13</v>
      </c>
      <c r="C442" t="s">
        <v>145</v>
      </c>
      <c r="D442" t="s">
        <v>146</v>
      </c>
      <c r="E442" t="s">
        <v>207</v>
      </c>
      <c r="F442" t="s">
        <v>199</v>
      </c>
      <c r="G442" t="s">
        <v>199</v>
      </c>
      <c r="H442" s="46">
        <v>1</v>
      </c>
      <c r="I442" s="46">
        <v>0</v>
      </c>
      <c r="J442" s="46">
        <v>0</v>
      </c>
      <c r="K442" s="46">
        <v>12</v>
      </c>
      <c r="L442" s="46">
        <v>10</v>
      </c>
      <c r="M442" s="48">
        <v>0.1</v>
      </c>
    </row>
    <row r="443" spans="1:13" x14ac:dyDescent="0.35">
      <c r="A443" t="s">
        <v>197</v>
      </c>
      <c r="B443" t="s">
        <v>13</v>
      </c>
      <c r="C443" t="s">
        <v>148</v>
      </c>
      <c r="D443" t="s">
        <v>146</v>
      </c>
      <c r="E443" t="s">
        <v>208</v>
      </c>
      <c r="F443" t="s">
        <v>199</v>
      </c>
      <c r="G443" t="s">
        <v>18</v>
      </c>
      <c r="H443" s="46">
        <v>13</v>
      </c>
      <c r="I443" s="46">
        <v>0</v>
      </c>
      <c r="J443" s="46">
        <v>5</v>
      </c>
      <c r="K443" s="46">
        <v>274</v>
      </c>
      <c r="L443" s="46">
        <v>262</v>
      </c>
      <c r="M443" s="48">
        <v>4.9618320610687001E-2</v>
      </c>
    </row>
    <row r="444" spans="1:13" x14ac:dyDescent="0.35">
      <c r="A444" t="s">
        <v>197</v>
      </c>
      <c r="B444" t="s">
        <v>13</v>
      </c>
      <c r="C444" t="s">
        <v>151</v>
      </c>
      <c r="D444" t="s">
        <v>146</v>
      </c>
      <c r="E444" t="s">
        <v>208</v>
      </c>
      <c r="F444" t="s">
        <v>199</v>
      </c>
      <c r="G444" t="s">
        <v>18</v>
      </c>
      <c r="H444" s="46">
        <v>0</v>
      </c>
      <c r="I444" s="46">
        <v>0</v>
      </c>
      <c r="J444" s="46">
        <v>0</v>
      </c>
      <c r="K444" s="46">
        <v>202</v>
      </c>
      <c r="L444" s="46">
        <v>193</v>
      </c>
      <c r="M444" s="48">
        <v>0</v>
      </c>
    </row>
    <row r="445" spans="1:13" x14ac:dyDescent="0.35">
      <c r="A445" t="s">
        <v>197</v>
      </c>
      <c r="B445" t="s">
        <v>13</v>
      </c>
      <c r="C445" t="s">
        <v>154</v>
      </c>
      <c r="D445" t="s">
        <v>146</v>
      </c>
      <c r="E445" t="s">
        <v>208</v>
      </c>
      <c r="F445" t="s">
        <v>199</v>
      </c>
      <c r="G445" t="s">
        <v>18</v>
      </c>
      <c r="H445" s="46">
        <v>0</v>
      </c>
      <c r="I445" s="46">
        <v>0</v>
      </c>
      <c r="J445" s="46">
        <v>0</v>
      </c>
      <c r="K445" s="46">
        <v>68</v>
      </c>
      <c r="L445" s="46">
        <v>50</v>
      </c>
      <c r="M445" s="48">
        <v>0</v>
      </c>
    </row>
    <row r="446" spans="1:13" x14ac:dyDescent="0.35">
      <c r="A446" t="s">
        <v>197</v>
      </c>
      <c r="B446" t="s">
        <v>13</v>
      </c>
      <c r="C446" t="s">
        <v>152</v>
      </c>
      <c r="D446" t="s">
        <v>146</v>
      </c>
      <c r="E446" t="s">
        <v>208</v>
      </c>
      <c r="F446" t="s">
        <v>199</v>
      </c>
      <c r="G446" t="s">
        <v>18</v>
      </c>
      <c r="H446" s="46">
        <v>7</v>
      </c>
      <c r="I446" s="46">
        <v>0</v>
      </c>
      <c r="J446" s="46">
        <v>3</v>
      </c>
      <c r="K446" s="46">
        <v>28</v>
      </c>
      <c r="L446" s="46">
        <v>25</v>
      </c>
      <c r="M446" s="48">
        <v>0.28000000000000003</v>
      </c>
    </row>
    <row r="447" spans="1:13" x14ac:dyDescent="0.35">
      <c r="A447" t="s">
        <v>197</v>
      </c>
      <c r="B447" t="s">
        <v>13</v>
      </c>
      <c r="C447" t="s">
        <v>153</v>
      </c>
      <c r="D447" t="s">
        <v>146</v>
      </c>
      <c r="E447" t="s">
        <v>208</v>
      </c>
      <c r="F447" t="s">
        <v>199</v>
      </c>
      <c r="G447" t="s">
        <v>18</v>
      </c>
      <c r="H447" s="46">
        <v>1</v>
      </c>
      <c r="I447" s="46">
        <v>0</v>
      </c>
      <c r="J447" s="46">
        <v>0</v>
      </c>
      <c r="K447" s="46">
        <v>51</v>
      </c>
      <c r="L447" s="46">
        <v>50</v>
      </c>
      <c r="M447" s="48">
        <v>0.02</v>
      </c>
    </row>
    <row r="448" spans="1:13" x14ac:dyDescent="0.35">
      <c r="A448" t="s">
        <v>197</v>
      </c>
      <c r="B448" t="s">
        <v>13</v>
      </c>
      <c r="C448" t="s">
        <v>155</v>
      </c>
      <c r="D448" t="s">
        <v>146</v>
      </c>
      <c r="E448" t="s">
        <v>208</v>
      </c>
      <c r="F448" t="s">
        <v>199</v>
      </c>
      <c r="G448" t="s">
        <v>18</v>
      </c>
      <c r="H448" s="46">
        <v>3</v>
      </c>
      <c r="I448" s="46">
        <v>0</v>
      </c>
      <c r="J448" s="46">
        <v>1</v>
      </c>
      <c r="K448" s="46">
        <v>144</v>
      </c>
      <c r="L448" s="46">
        <v>144</v>
      </c>
      <c r="M448" s="48">
        <v>2.0833333333333301E-2</v>
      </c>
    </row>
    <row r="449" spans="1:13" x14ac:dyDescent="0.35">
      <c r="A449" t="s">
        <v>197</v>
      </c>
      <c r="B449" t="s">
        <v>13</v>
      </c>
      <c r="C449" t="s">
        <v>156</v>
      </c>
      <c r="D449" t="s">
        <v>146</v>
      </c>
      <c r="E449" t="s">
        <v>208</v>
      </c>
      <c r="F449" t="s">
        <v>199</v>
      </c>
      <c r="G449" t="s">
        <v>18</v>
      </c>
      <c r="H449" s="46">
        <v>5</v>
      </c>
      <c r="I449" s="46">
        <v>0</v>
      </c>
      <c r="J449" s="46">
        <v>2</v>
      </c>
      <c r="K449" s="46">
        <v>39</v>
      </c>
      <c r="L449" s="46">
        <v>35</v>
      </c>
      <c r="M449" s="48">
        <v>0.14285714285714299</v>
      </c>
    </row>
    <row r="450" spans="1:13" x14ac:dyDescent="0.35">
      <c r="A450" t="s">
        <v>197</v>
      </c>
      <c r="B450" t="s">
        <v>13</v>
      </c>
      <c r="C450" t="s">
        <v>157</v>
      </c>
      <c r="D450" t="s">
        <v>146</v>
      </c>
      <c r="E450" t="s">
        <v>208</v>
      </c>
      <c r="F450" t="s">
        <v>199</v>
      </c>
      <c r="G450" t="s">
        <v>18</v>
      </c>
      <c r="H450" s="46">
        <v>6</v>
      </c>
      <c r="I450" s="46">
        <v>0</v>
      </c>
      <c r="J450" s="46">
        <v>0</v>
      </c>
      <c r="K450" s="46">
        <v>581</v>
      </c>
      <c r="L450" s="46">
        <v>564</v>
      </c>
      <c r="M450" s="48">
        <v>1.0638297872340399E-2</v>
      </c>
    </row>
    <row r="451" spans="1:13" x14ac:dyDescent="0.35">
      <c r="A451" t="s">
        <v>197</v>
      </c>
      <c r="B451" t="s">
        <v>13</v>
      </c>
      <c r="C451" t="s">
        <v>149</v>
      </c>
      <c r="D451" t="s">
        <v>146</v>
      </c>
      <c r="E451" t="s">
        <v>208</v>
      </c>
      <c r="F451" t="s">
        <v>199</v>
      </c>
      <c r="G451" t="s">
        <v>18</v>
      </c>
      <c r="H451" s="46">
        <v>3</v>
      </c>
      <c r="I451" s="46">
        <v>0</v>
      </c>
      <c r="J451" s="46">
        <v>0</v>
      </c>
      <c r="K451" s="46">
        <v>187</v>
      </c>
      <c r="L451" s="46">
        <v>179</v>
      </c>
      <c r="M451" s="48">
        <v>1.67597765363128E-2</v>
      </c>
    </row>
    <row r="452" spans="1:13" x14ac:dyDescent="0.35">
      <c r="A452" t="s">
        <v>197</v>
      </c>
      <c r="B452" t="s">
        <v>13</v>
      </c>
      <c r="C452" t="s">
        <v>158</v>
      </c>
      <c r="D452" t="s">
        <v>146</v>
      </c>
      <c r="E452" t="s">
        <v>208</v>
      </c>
      <c r="F452" t="s">
        <v>199</v>
      </c>
      <c r="G452" t="s">
        <v>18</v>
      </c>
      <c r="H452" s="46">
        <v>4</v>
      </c>
      <c r="I452" s="46">
        <v>0</v>
      </c>
      <c r="J452" s="46">
        <v>2</v>
      </c>
      <c r="K452" s="46">
        <v>699</v>
      </c>
      <c r="L452" s="46">
        <v>699</v>
      </c>
      <c r="M452" s="48">
        <v>5.72246065808298E-3</v>
      </c>
    </row>
    <row r="453" spans="1:13" x14ac:dyDescent="0.35">
      <c r="A453" t="s">
        <v>197</v>
      </c>
      <c r="B453" t="s">
        <v>13</v>
      </c>
      <c r="C453" t="s">
        <v>150</v>
      </c>
      <c r="D453" t="s">
        <v>146</v>
      </c>
      <c r="E453" t="s">
        <v>208</v>
      </c>
      <c r="F453" t="s">
        <v>199</v>
      </c>
      <c r="G453" t="s">
        <v>18</v>
      </c>
      <c r="H453" s="46">
        <v>0</v>
      </c>
      <c r="I453" s="46">
        <v>0</v>
      </c>
      <c r="J453" s="46">
        <v>0</v>
      </c>
      <c r="K453" s="46">
        <v>81</v>
      </c>
      <c r="L453" s="46">
        <v>81</v>
      </c>
      <c r="M453" s="48">
        <v>0</v>
      </c>
    </row>
    <row r="454" spans="1:13" x14ac:dyDescent="0.35">
      <c r="A454" t="s">
        <v>197</v>
      </c>
      <c r="B454" t="s">
        <v>36</v>
      </c>
      <c r="C454" t="s">
        <v>145</v>
      </c>
      <c r="D454" t="s">
        <v>146</v>
      </c>
      <c r="E454" t="s">
        <v>198</v>
      </c>
      <c r="F454" t="s">
        <v>199</v>
      </c>
      <c r="G454" t="s">
        <v>199</v>
      </c>
      <c r="H454" s="46">
        <v>8</v>
      </c>
      <c r="I454" s="46">
        <v>8</v>
      </c>
      <c r="J454" s="46">
        <v>0</v>
      </c>
      <c r="K454" s="46">
        <v>51</v>
      </c>
      <c r="L454" s="46">
        <v>46</v>
      </c>
      <c r="M454" s="48">
        <v>0.173913043478261</v>
      </c>
    </row>
    <row r="455" spans="1:13" x14ac:dyDescent="0.35">
      <c r="A455" t="s">
        <v>197</v>
      </c>
      <c r="B455" t="s">
        <v>36</v>
      </c>
      <c r="C455" t="s">
        <v>150</v>
      </c>
      <c r="D455" t="s">
        <v>146</v>
      </c>
      <c r="E455" t="s">
        <v>198</v>
      </c>
      <c r="F455" t="s">
        <v>199</v>
      </c>
      <c r="G455" t="s">
        <v>18</v>
      </c>
      <c r="H455" s="46">
        <v>1</v>
      </c>
      <c r="I455" s="46">
        <v>1</v>
      </c>
      <c r="J455" s="46">
        <v>0</v>
      </c>
      <c r="K455" s="46">
        <v>5</v>
      </c>
      <c r="L455" s="46">
        <v>5</v>
      </c>
      <c r="M455" s="48">
        <v>0.2</v>
      </c>
    </row>
    <row r="456" spans="1:13" x14ac:dyDescent="0.35">
      <c r="A456" t="s">
        <v>197</v>
      </c>
      <c r="B456" t="s">
        <v>36</v>
      </c>
      <c r="C456" t="s">
        <v>151</v>
      </c>
      <c r="D456" t="s">
        <v>146</v>
      </c>
      <c r="E456" t="s">
        <v>198</v>
      </c>
      <c r="F456" t="s">
        <v>199</v>
      </c>
      <c r="G456" t="s">
        <v>18</v>
      </c>
      <c r="H456" s="46">
        <v>1</v>
      </c>
      <c r="I456" s="46">
        <v>1</v>
      </c>
      <c r="J456" s="46">
        <v>0</v>
      </c>
      <c r="K456" s="46">
        <v>19</v>
      </c>
      <c r="L456" s="46">
        <v>18</v>
      </c>
      <c r="M456" s="48">
        <v>5.5555555555555601E-2</v>
      </c>
    </row>
    <row r="457" spans="1:13" x14ac:dyDescent="0.35">
      <c r="A457" t="s">
        <v>197</v>
      </c>
      <c r="B457" t="s">
        <v>36</v>
      </c>
      <c r="C457" t="s">
        <v>152</v>
      </c>
      <c r="D457" t="s">
        <v>146</v>
      </c>
      <c r="E457" t="s">
        <v>198</v>
      </c>
      <c r="F457" t="s">
        <v>199</v>
      </c>
      <c r="G457" t="s">
        <v>18</v>
      </c>
      <c r="H457" s="46">
        <v>20</v>
      </c>
      <c r="I457" s="46">
        <v>20</v>
      </c>
      <c r="J457" s="46">
        <v>0</v>
      </c>
      <c r="K457" s="46">
        <v>240</v>
      </c>
      <c r="L457" s="46">
        <v>215</v>
      </c>
      <c r="M457" s="48">
        <v>9.3023255813953501E-2</v>
      </c>
    </row>
    <row r="458" spans="1:13" x14ac:dyDescent="0.35">
      <c r="A458" t="s">
        <v>197</v>
      </c>
      <c r="B458" t="s">
        <v>36</v>
      </c>
      <c r="C458" t="s">
        <v>153</v>
      </c>
      <c r="D458" t="s">
        <v>146</v>
      </c>
      <c r="E458" t="s">
        <v>198</v>
      </c>
      <c r="F458" t="s">
        <v>199</v>
      </c>
      <c r="G458" t="s">
        <v>18</v>
      </c>
      <c r="H458" s="46">
        <v>1</v>
      </c>
      <c r="I458" s="46">
        <v>1</v>
      </c>
      <c r="J458" s="46">
        <v>0</v>
      </c>
      <c r="K458" s="46">
        <v>5</v>
      </c>
      <c r="L458" s="46">
        <v>5</v>
      </c>
      <c r="M458" s="48">
        <v>0.2</v>
      </c>
    </row>
    <row r="459" spans="1:13" x14ac:dyDescent="0.35">
      <c r="A459" t="s">
        <v>197</v>
      </c>
      <c r="B459" t="s">
        <v>36</v>
      </c>
      <c r="C459" t="s">
        <v>154</v>
      </c>
      <c r="D459" t="s">
        <v>146</v>
      </c>
      <c r="E459" t="s">
        <v>198</v>
      </c>
      <c r="F459" t="s">
        <v>199</v>
      </c>
      <c r="G459" t="s">
        <v>18</v>
      </c>
      <c r="H459" s="46">
        <v>2</v>
      </c>
      <c r="I459" s="46">
        <v>2</v>
      </c>
      <c r="J459" s="46">
        <v>0</v>
      </c>
      <c r="K459" s="46">
        <v>18</v>
      </c>
      <c r="L459" s="46">
        <v>17</v>
      </c>
      <c r="M459" s="48">
        <v>0.11764705882352899</v>
      </c>
    </row>
    <row r="460" spans="1:13" x14ac:dyDescent="0.35">
      <c r="A460" t="s">
        <v>197</v>
      </c>
      <c r="B460" t="s">
        <v>36</v>
      </c>
      <c r="C460" t="s">
        <v>148</v>
      </c>
      <c r="D460" t="s">
        <v>146</v>
      </c>
      <c r="E460" t="s">
        <v>198</v>
      </c>
      <c r="F460" t="s">
        <v>199</v>
      </c>
      <c r="G460" t="s">
        <v>18</v>
      </c>
      <c r="H460" s="46">
        <v>7</v>
      </c>
      <c r="I460" s="46">
        <v>7</v>
      </c>
      <c r="J460" s="46">
        <v>0</v>
      </c>
      <c r="K460" s="46">
        <v>160</v>
      </c>
      <c r="L460" s="46">
        <v>157</v>
      </c>
      <c r="M460" s="48">
        <v>4.4585987261146501E-2</v>
      </c>
    </row>
    <row r="461" spans="1:13" x14ac:dyDescent="0.35">
      <c r="A461" t="s">
        <v>197</v>
      </c>
      <c r="B461" t="s">
        <v>36</v>
      </c>
      <c r="C461" t="s">
        <v>155</v>
      </c>
      <c r="D461" t="s">
        <v>146</v>
      </c>
      <c r="E461" t="s">
        <v>198</v>
      </c>
      <c r="F461" t="s">
        <v>199</v>
      </c>
      <c r="G461" t="s">
        <v>18</v>
      </c>
      <c r="H461" s="46">
        <v>2</v>
      </c>
      <c r="I461" s="46">
        <v>2</v>
      </c>
      <c r="J461" s="46">
        <v>0</v>
      </c>
      <c r="K461" s="46">
        <v>9</v>
      </c>
      <c r="L461" s="46">
        <v>9</v>
      </c>
      <c r="M461" s="48">
        <v>0.22222222222222199</v>
      </c>
    </row>
    <row r="462" spans="1:13" x14ac:dyDescent="0.35">
      <c r="A462" t="s">
        <v>197</v>
      </c>
      <c r="B462" t="s">
        <v>36</v>
      </c>
      <c r="C462" t="s">
        <v>156</v>
      </c>
      <c r="D462" t="s">
        <v>146</v>
      </c>
      <c r="E462" t="s">
        <v>198</v>
      </c>
      <c r="F462" t="s">
        <v>199</v>
      </c>
      <c r="G462" t="s">
        <v>18</v>
      </c>
      <c r="H462" s="46">
        <v>2</v>
      </c>
      <c r="I462" s="46">
        <v>2</v>
      </c>
      <c r="J462" s="46">
        <v>0</v>
      </c>
      <c r="K462" s="46">
        <v>9</v>
      </c>
      <c r="L462" s="46">
        <v>9</v>
      </c>
      <c r="M462" s="48">
        <v>0.22222222222222199</v>
      </c>
    </row>
    <row r="463" spans="1:13" x14ac:dyDescent="0.35">
      <c r="A463" t="s">
        <v>197</v>
      </c>
      <c r="B463" t="s">
        <v>36</v>
      </c>
      <c r="C463" t="s">
        <v>157</v>
      </c>
      <c r="D463" t="s">
        <v>146</v>
      </c>
      <c r="E463" t="s">
        <v>198</v>
      </c>
      <c r="F463" t="s">
        <v>199</v>
      </c>
      <c r="G463" t="s">
        <v>18</v>
      </c>
      <c r="H463" s="46">
        <v>0</v>
      </c>
      <c r="I463" s="46">
        <v>0</v>
      </c>
      <c r="J463" s="46">
        <v>0</v>
      </c>
      <c r="K463" s="46">
        <v>13</v>
      </c>
      <c r="L463" s="46">
        <v>11</v>
      </c>
      <c r="M463" s="48">
        <v>0</v>
      </c>
    </row>
    <row r="464" spans="1:13" x14ac:dyDescent="0.35">
      <c r="A464" t="s">
        <v>197</v>
      </c>
      <c r="B464" t="s">
        <v>36</v>
      </c>
      <c r="C464" t="s">
        <v>158</v>
      </c>
      <c r="D464" t="s">
        <v>146</v>
      </c>
      <c r="E464" t="s">
        <v>198</v>
      </c>
      <c r="F464" t="s">
        <v>199</v>
      </c>
      <c r="G464" t="s">
        <v>18</v>
      </c>
      <c r="H464" s="46">
        <v>2</v>
      </c>
      <c r="I464" s="46">
        <v>2</v>
      </c>
      <c r="J464" s="46">
        <v>0</v>
      </c>
      <c r="K464" s="46">
        <v>42</v>
      </c>
      <c r="L464" s="46">
        <v>40</v>
      </c>
      <c r="M464" s="48">
        <v>0.05</v>
      </c>
    </row>
    <row r="465" spans="1:13" x14ac:dyDescent="0.35">
      <c r="A465" t="s">
        <v>197</v>
      </c>
      <c r="B465" t="s">
        <v>36</v>
      </c>
      <c r="C465" t="s">
        <v>150</v>
      </c>
      <c r="D465" t="s">
        <v>146</v>
      </c>
      <c r="E465" t="s">
        <v>200</v>
      </c>
      <c r="F465" t="s">
        <v>199</v>
      </c>
      <c r="G465" t="s">
        <v>20</v>
      </c>
      <c r="H465" s="46">
        <v>2</v>
      </c>
      <c r="I465" s="46">
        <v>2</v>
      </c>
      <c r="J465" s="46">
        <v>0</v>
      </c>
      <c r="K465" s="46">
        <v>7</v>
      </c>
      <c r="L465" s="46">
        <v>6</v>
      </c>
      <c r="M465" s="48">
        <v>0.33333333333333298</v>
      </c>
    </row>
    <row r="466" spans="1:13" x14ac:dyDescent="0.35">
      <c r="A466" t="s">
        <v>197</v>
      </c>
      <c r="B466" t="s">
        <v>36</v>
      </c>
      <c r="C466" t="s">
        <v>151</v>
      </c>
      <c r="D466" t="s">
        <v>146</v>
      </c>
      <c r="E466" t="s">
        <v>200</v>
      </c>
      <c r="F466" t="s">
        <v>199</v>
      </c>
      <c r="G466" t="s">
        <v>20</v>
      </c>
      <c r="H466" s="46">
        <v>2</v>
      </c>
      <c r="I466" s="46">
        <v>2</v>
      </c>
      <c r="J466" s="46">
        <v>0</v>
      </c>
      <c r="K466" s="46">
        <v>22</v>
      </c>
      <c r="L466" s="46">
        <v>21</v>
      </c>
      <c r="M466" s="48">
        <v>9.5238095238095205E-2</v>
      </c>
    </row>
    <row r="467" spans="1:13" x14ac:dyDescent="0.35">
      <c r="A467" t="s">
        <v>197</v>
      </c>
      <c r="B467" t="s">
        <v>36</v>
      </c>
      <c r="C467" t="s">
        <v>152</v>
      </c>
      <c r="D467" t="s">
        <v>146</v>
      </c>
      <c r="E467" t="s">
        <v>200</v>
      </c>
      <c r="F467" t="s">
        <v>199</v>
      </c>
      <c r="G467" t="s">
        <v>20</v>
      </c>
      <c r="H467" s="46">
        <v>21</v>
      </c>
      <c r="I467" s="46">
        <v>21</v>
      </c>
      <c r="J467" s="46">
        <v>0</v>
      </c>
      <c r="K467" s="46">
        <v>227</v>
      </c>
      <c r="L467" s="46">
        <v>210</v>
      </c>
      <c r="M467" s="48">
        <v>0.1</v>
      </c>
    </row>
    <row r="468" spans="1:13" x14ac:dyDescent="0.35">
      <c r="A468" t="s">
        <v>197</v>
      </c>
      <c r="B468" t="s">
        <v>36</v>
      </c>
      <c r="C468" t="s">
        <v>153</v>
      </c>
      <c r="D468" t="s">
        <v>146</v>
      </c>
      <c r="E468" t="s">
        <v>200</v>
      </c>
      <c r="F468" t="s">
        <v>199</v>
      </c>
      <c r="G468" t="s">
        <v>20</v>
      </c>
      <c r="H468" s="46">
        <v>1</v>
      </c>
      <c r="I468" s="46">
        <v>1</v>
      </c>
      <c r="J468" s="46">
        <v>0</v>
      </c>
      <c r="K468" s="46">
        <v>3</v>
      </c>
      <c r="L468" s="46">
        <v>3</v>
      </c>
      <c r="M468" s="48">
        <v>0.33333333333333298</v>
      </c>
    </row>
    <row r="469" spans="1:13" x14ac:dyDescent="0.35">
      <c r="A469" t="s">
        <v>197</v>
      </c>
      <c r="B469" t="s">
        <v>36</v>
      </c>
      <c r="C469" t="s">
        <v>154</v>
      </c>
      <c r="D469" t="s">
        <v>146</v>
      </c>
      <c r="E469" t="s">
        <v>200</v>
      </c>
      <c r="F469" t="s">
        <v>199</v>
      </c>
      <c r="G469" t="s">
        <v>20</v>
      </c>
      <c r="H469" s="46">
        <v>1</v>
      </c>
      <c r="I469" s="46">
        <v>1</v>
      </c>
      <c r="J469" s="46">
        <v>0</v>
      </c>
      <c r="K469" s="46">
        <v>22</v>
      </c>
      <c r="L469" s="46">
        <v>20</v>
      </c>
      <c r="M469" s="48">
        <v>0.05</v>
      </c>
    </row>
    <row r="470" spans="1:13" x14ac:dyDescent="0.35">
      <c r="A470" t="s">
        <v>197</v>
      </c>
      <c r="B470" t="s">
        <v>36</v>
      </c>
      <c r="C470" t="s">
        <v>148</v>
      </c>
      <c r="D470" t="s">
        <v>146</v>
      </c>
      <c r="E470" t="s">
        <v>200</v>
      </c>
      <c r="F470" t="s">
        <v>199</v>
      </c>
      <c r="G470" t="s">
        <v>20</v>
      </c>
      <c r="H470" s="46">
        <v>19</v>
      </c>
      <c r="I470" s="46">
        <v>19</v>
      </c>
      <c r="J470" s="46">
        <v>0</v>
      </c>
      <c r="K470" s="46">
        <v>239</v>
      </c>
      <c r="L470" s="46">
        <v>224</v>
      </c>
      <c r="M470" s="48">
        <v>8.4821428571428603E-2</v>
      </c>
    </row>
    <row r="471" spans="1:13" x14ac:dyDescent="0.35">
      <c r="A471" t="s">
        <v>197</v>
      </c>
      <c r="B471" t="s">
        <v>36</v>
      </c>
      <c r="C471" t="s">
        <v>155</v>
      </c>
      <c r="D471" t="s">
        <v>146</v>
      </c>
      <c r="E471" t="s">
        <v>200</v>
      </c>
      <c r="F471" t="s">
        <v>199</v>
      </c>
      <c r="G471" t="s">
        <v>20</v>
      </c>
      <c r="H471" s="46">
        <v>2</v>
      </c>
      <c r="I471" s="46">
        <v>2</v>
      </c>
      <c r="J471" s="46">
        <v>0</v>
      </c>
      <c r="K471" s="46">
        <v>8</v>
      </c>
      <c r="L471" s="46">
        <v>7</v>
      </c>
      <c r="M471" s="48">
        <v>0.28571428571428598</v>
      </c>
    </row>
    <row r="472" spans="1:13" x14ac:dyDescent="0.35">
      <c r="A472" t="s">
        <v>197</v>
      </c>
      <c r="B472" t="s">
        <v>36</v>
      </c>
      <c r="C472" t="s">
        <v>156</v>
      </c>
      <c r="D472" t="s">
        <v>146</v>
      </c>
      <c r="E472" t="s">
        <v>200</v>
      </c>
      <c r="F472" t="s">
        <v>199</v>
      </c>
      <c r="G472" t="s">
        <v>20</v>
      </c>
      <c r="H472" s="46">
        <v>2</v>
      </c>
      <c r="I472" s="46">
        <v>2</v>
      </c>
      <c r="J472" s="46">
        <v>0</v>
      </c>
      <c r="K472" s="46">
        <v>10</v>
      </c>
      <c r="L472" s="46">
        <v>9</v>
      </c>
      <c r="M472" s="48">
        <v>0.22222222222222199</v>
      </c>
    </row>
    <row r="473" spans="1:13" x14ac:dyDescent="0.35">
      <c r="A473" t="s">
        <v>197</v>
      </c>
      <c r="B473" t="s">
        <v>36</v>
      </c>
      <c r="C473" t="s">
        <v>157</v>
      </c>
      <c r="D473" t="s">
        <v>146</v>
      </c>
      <c r="E473" t="s">
        <v>200</v>
      </c>
      <c r="F473" t="s">
        <v>199</v>
      </c>
      <c r="G473" t="s">
        <v>20</v>
      </c>
      <c r="H473" s="46">
        <v>1</v>
      </c>
      <c r="I473" s="46">
        <v>1</v>
      </c>
      <c r="J473" s="46">
        <v>0</v>
      </c>
      <c r="K473" s="46">
        <v>12</v>
      </c>
      <c r="L473" s="46">
        <v>11</v>
      </c>
      <c r="M473" s="48">
        <v>9.0909090909090898E-2</v>
      </c>
    </row>
    <row r="474" spans="1:13" x14ac:dyDescent="0.35">
      <c r="A474" t="s">
        <v>197</v>
      </c>
      <c r="B474" t="s">
        <v>36</v>
      </c>
      <c r="C474" t="s">
        <v>158</v>
      </c>
      <c r="D474" t="s">
        <v>146</v>
      </c>
      <c r="E474" t="s">
        <v>200</v>
      </c>
      <c r="F474" t="s">
        <v>199</v>
      </c>
      <c r="G474" t="s">
        <v>20</v>
      </c>
      <c r="H474" s="46">
        <v>6</v>
      </c>
      <c r="I474" s="46">
        <v>6</v>
      </c>
      <c r="J474" s="46">
        <v>0</v>
      </c>
      <c r="K474" s="46">
        <v>56</v>
      </c>
      <c r="L474" s="46">
        <v>54</v>
      </c>
      <c r="M474" s="48">
        <v>0.11111111111111099</v>
      </c>
    </row>
    <row r="475" spans="1:13" x14ac:dyDescent="0.35">
      <c r="A475" t="s">
        <v>197</v>
      </c>
      <c r="B475" t="s">
        <v>36</v>
      </c>
      <c r="C475" t="s">
        <v>148</v>
      </c>
      <c r="D475" t="s">
        <v>146</v>
      </c>
      <c r="E475" t="s">
        <v>201</v>
      </c>
      <c r="F475" t="s">
        <v>199</v>
      </c>
      <c r="G475" t="s">
        <v>17</v>
      </c>
      <c r="H475" s="46">
        <v>11</v>
      </c>
      <c r="I475" s="46">
        <v>10</v>
      </c>
      <c r="J475" s="46">
        <v>0</v>
      </c>
      <c r="K475" s="46">
        <v>94</v>
      </c>
      <c r="L475" s="46">
        <v>91</v>
      </c>
      <c r="M475" s="48">
        <v>0.120879120879121</v>
      </c>
    </row>
    <row r="476" spans="1:13" x14ac:dyDescent="0.35">
      <c r="A476" t="s">
        <v>197</v>
      </c>
      <c r="B476" t="s">
        <v>36</v>
      </c>
      <c r="C476" t="s">
        <v>150</v>
      </c>
      <c r="D476" t="s">
        <v>146</v>
      </c>
      <c r="E476" t="s">
        <v>202</v>
      </c>
      <c r="F476" t="s">
        <v>199</v>
      </c>
      <c r="G476" t="s">
        <v>17</v>
      </c>
      <c r="H476" s="46">
        <v>0</v>
      </c>
      <c r="I476" s="46">
        <v>0</v>
      </c>
      <c r="J476" s="46">
        <v>0</v>
      </c>
      <c r="K476" s="46">
        <v>5</v>
      </c>
      <c r="L476" s="46">
        <v>4</v>
      </c>
      <c r="M476" s="48">
        <v>0</v>
      </c>
    </row>
    <row r="477" spans="1:13" x14ac:dyDescent="0.35">
      <c r="A477" t="s">
        <v>197</v>
      </c>
      <c r="B477" t="s">
        <v>36</v>
      </c>
      <c r="C477" t="s">
        <v>151</v>
      </c>
      <c r="D477" t="s">
        <v>146</v>
      </c>
      <c r="E477" t="s">
        <v>202</v>
      </c>
      <c r="F477" t="s">
        <v>199</v>
      </c>
      <c r="G477" t="s">
        <v>17</v>
      </c>
      <c r="H477" s="46">
        <v>0</v>
      </c>
      <c r="I477" s="46">
        <v>0</v>
      </c>
      <c r="J477" s="46">
        <v>0</v>
      </c>
      <c r="K477" s="46">
        <v>6</v>
      </c>
      <c r="L477" s="46">
        <v>6</v>
      </c>
      <c r="M477" s="48">
        <v>0</v>
      </c>
    </row>
    <row r="478" spans="1:13" x14ac:dyDescent="0.35">
      <c r="A478" t="s">
        <v>197</v>
      </c>
      <c r="B478" t="s">
        <v>36</v>
      </c>
      <c r="C478" t="s">
        <v>152</v>
      </c>
      <c r="D478" t="s">
        <v>146</v>
      </c>
      <c r="E478" t="s">
        <v>202</v>
      </c>
      <c r="F478" t="s">
        <v>199</v>
      </c>
      <c r="G478" t="s">
        <v>17</v>
      </c>
      <c r="H478" s="46">
        <v>13</v>
      </c>
      <c r="I478" s="46">
        <v>13</v>
      </c>
      <c r="J478" s="46">
        <v>0</v>
      </c>
      <c r="K478" s="46">
        <v>218</v>
      </c>
      <c r="L478" s="46">
        <v>188</v>
      </c>
      <c r="M478" s="48">
        <v>6.9148936170212796E-2</v>
      </c>
    </row>
    <row r="479" spans="1:13" x14ac:dyDescent="0.35">
      <c r="A479" t="s">
        <v>197</v>
      </c>
      <c r="B479" t="s">
        <v>36</v>
      </c>
      <c r="C479" t="s">
        <v>153</v>
      </c>
      <c r="D479" t="s">
        <v>146</v>
      </c>
      <c r="E479" t="s">
        <v>202</v>
      </c>
      <c r="F479" t="s">
        <v>199</v>
      </c>
      <c r="G479" t="s">
        <v>17</v>
      </c>
      <c r="H479" s="46">
        <v>1</v>
      </c>
      <c r="I479" s="46">
        <v>1</v>
      </c>
      <c r="J479" s="46">
        <v>0</v>
      </c>
      <c r="K479" s="46">
        <v>4</v>
      </c>
      <c r="L479" s="46">
        <v>4</v>
      </c>
      <c r="M479" s="48">
        <v>0.25</v>
      </c>
    </row>
    <row r="480" spans="1:13" x14ac:dyDescent="0.35">
      <c r="A480" t="s">
        <v>197</v>
      </c>
      <c r="B480" t="s">
        <v>36</v>
      </c>
      <c r="C480" t="s">
        <v>154</v>
      </c>
      <c r="D480" t="s">
        <v>146</v>
      </c>
      <c r="E480" t="s">
        <v>202</v>
      </c>
      <c r="F480" t="s">
        <v>199</v>
      </c>
      <c r="G480" t="s">
        <v>17</v>
      </c>
      <c r="H480" s="46">
        <v>0</v>
      </c>
      <c r="I480" s="46">
        <v>0</v>
      </c>
      <c r="J480" s="46">
        <v>0</v>
      </c>
      <c r="K480" s="46">
        <v>15</v>
      </c>
      <c r="L480" s="46">
        <v>15</v>
      </c>
      <c r="M480" s="48">
        <v>0</v>
      </c>
    </row>
    <row r="481" spans="1:13" x14ac:dyDescent="0.35">
      <c r="A481" t="s">
        <v>197</v>
      </c>
      <c r="B481" t="s">
        <v>36</v>
      </c>
      <c r="C481" t="s">
        <v>155</v>
      </c>
      <c r="D481" t="s">
        <v>146</v>
      </c>
      <c r="E481" t="s">
        <v>202</v>
      </c>
      <c r="F481" t="s">
        <v>199</v>
      </c>
      <c r="G481" t="s">
        <v>17</v>
      </c>
      <c r="H481" s="46">
        <v>2</v>
      </c>
      <c r="I481" s="46">
        <v>2</v>
      </c>
      <c r="J481" s="46">
        <v>0</v>
      </c>
      <c r="K481" s="46">
        <v>8</v>
      </c>
      <c r="L481" s="46">
        <v>8</v>
      </c>
      <c r="M481" s="48">
        <v>0.25</v>
      </c>
    </row>
    <row r="482" spans="1:13" x14ac:dyDescent="0.35">
      <c r="A482" t="s">
        <v>197</v>
      </c>
      <c r="B482" t="s">
        <v>36</v>
      </c>
      <c r="C482" t="s">
        <v>156</v>
      </c>
      <c r="D482" t="s">
        <v>146</v>
      </c>
      <c r="E482" t="s">
        <v>202</v>
      </c>
      <c r="F482" t="s">
        <v>199</v>
      </c>
      <c r="G482" t="s">
        <v>17</v>
      </c>
      <c r="H482" s="46">
        <v>1</v>
      </c>
      <c r="I482" s="46">
        <v>1</v>
      </c>
      <c r="J482" s="46">
        <v>0</v>
      </c>
      <c r="K482" s="46">
        <v>11</v>
      </c>
      <c r="L482" s="46">
        <v>10</v>
      </c>
      <c r="M482" s="48">
        <v>0.1</v>
      </c>
    </row>
    <row r="483" spans="1:13" x14ac:dyDescent="0.35">
      <c r="A483" t="s">
        <v>197</v>
      </c>
      <c r="B483" t="s">
        <v>36</v>
      </c>
      <c r="C483" t="s">
        <v>157</v>
      </c>
      <c r="D483" t="s">
        <v>146</v>
      </c>
      <c r="E483" t="s">
        <v>202</v>
      </c>
      <c r="F483" t="s">
        <v>199</v>
      </c>
      <c r="G483" t="s">
        <v>17</v>
      </c>
      <c r="H483" s="46">
        <v>0</v>
      </c>
      <c r="I483" s="46">
        <v>0</v>
      </c>
      <c r="J483" s="46">
        <v>0</v>
      </c>
      <c r="K483" s="46">
        <v>12</v>
      </c>
      <c r="L483" s="46">
        <v>11</v>
      </c>
      <c r="M483" s="48">
        <v>0</v>
      </c>
    </row>
    <row r="484" spans="1:13" x14ac:dyDescent="0.35">
      <c r="A484" t="s">
        <v>197</v>
      </c>
      <c r="B484" t="s">
        <v>36</v>
      </c>
      <c r="C484" t="s">
        <v>158</v>
      </c>
      <c r="D484" t="s">
        <v>146</v>
      </c>
      <c r="E484" t="s">
        <v>202</v>
      </c>
      <c r="F484" t="s">
        <v>199</v>
      </c>
      <c r="G484" t="s">
        <v>17</v>
      </c>
      <c r="H484" s="46">
        <v>4</v>
      </c>
      <c r="I484" s="46">
        <v>4</v>
      </c>
      <c r="J484" s="46">
        <v>0</v>
      </c>
      <c r="K484" s="46">
        <v>38</v>
      </c>
      <c r="L484" s="46">
        <v>37</v>
      </c>
      <c r="M484" s="48">
        <v>0.108108108108108</v>
      </c>
    </row>
    <row r="485" spans="1:13" x14ac:dyDescent="0.35">
      <c r="A485" t="s">
        <v>197</v>
      </c>
      <c r="B485" t="s">
        <v>36</v>
      </c>
      <c r="C485" t="s">
        <v>145</v>
      </c>
      <c r="D485" t="s">
        <v>146</v>
      </c>
      <c r="E485" t="s">
        <v>203</v>
      </c>
      <c r="F485" t="s">
        <v>199</v>
      </c>
      <c r="G485" t="s">
        <v>199</v>
      </c>
      <c r="H485" s="46">
        <v>6</v>
      </c>
      <c r="I485" s="46">
        <v>5</v>
      </c>
      <c r="J485" s="46">
        <v>0</v>
      </c>
      <c r="K485" s="46">
        <v>44</v>
      </c>
      <c r="L485" s="46">
        <v>39</v>
      </c>
      <c r="M485" s="48">
        <v>0.15384615384615399</v>
      </c>
    </row>
    <row r="486" spans="1:13" x14ac:dyDescent="0.35">
      <c r="A486" t="s">
        <v>197</v>
      </c>
      <c r="B486" t="s">
        <v>36</v>
      </c>
      <c r="C486" t="s">
        <v>150</v>
      </c>
      <c r="D486" t="s">
        <v>146</v>
      </c>
      <c r="E486" t="s">
        <v>204</v>
      </c>
      <c r="F486" t="s">
        <v>199</v>
      </c>
      <c r="G486" t="s">
        <v>17</v>
      </c>
      <c r="H486" s="46">
        <v>0</v>
      </c>
      <c r="I486" s="46">
        <v>0</v>
      </c>
      <c r="J486" s="46">
        <v>0</v>
      </c>
      <c r="K486" s="46">
        <v>6</v>
      </c>
      <c r="L486" s="46">
        <v>6</v>
      </c>
      <c r="M486" s="48">
        <v>0</v>
      </c>
    </row>
    <row r="487" spans="1:13" x14ac:dyDescent="0.35">
      <c r="A487" t="s">
        <v>197</v>
      </c>
      <c r="B487" t="s">
        <v>36</v>
      </c>
      <c r="C487" t="s">
        <v>151</v>
      </c>
      <c r="D487" t="s">
        <v>146</v>
      </c>
      <c r="E487" t="s">
        <v>204</v>
      </c>
      <c r="F487" t="s">
        <v>199</v>
      </c>
      <c r="G487" t="s">
        <v>17</v>
      </c>
      <c r="H487" s="46">
        <v>0</v>
      </c>
      <c r="I487" s="46">
        <v>0</v>
      </c>
      <c r="J487" s="46">
        <v>0</v>
      </c>
      <c r="K487" s="46">
        <v>14</v>
      </c>
      <c r="L487" s="46">
        <v>11</v>
      </c>
      <c r="M487" s="48">
        <v>0</v>
      </c>
    </row>
    <row r="488" spans="1:13" x14ac:dyDescent="0.35">
      <c r="A488" t="s">
        <v>197</v>
      </c>
      <c r="B488" t="s">
        <v>36</v>
      </c>
      <c r="C488" t="s">
        <v>152</v>
      </c>
      <c r="D488" t="s">
        <v>146</v>
      </c>
      <c r="E488" t="s">
        <v>204</v>
      </c>
      <c r="F488" t="s">
        <v>199</v>
      </c>
      <c r="G488" t="s">
        <v>17</v>
      </c>
      <c r="H488" s="46">
        <v>16</v>
      </c>
      <c r="I488" s="46">
        <v>16</v>
      </c>
      <c r="J488" s="46">
        <v>0</v>
      </c>
      <c r="K488" s="46">
        <v>126</v>
      </c>
      <c r="L488" s="46">
        <v>112</v>
      </c>
      <c r="M488" s="48">
        <v>0.14285714285714299</v>
      </c>
    </row>
    <row r="489" spans="1:13" x14ac:dyDescent="0.35">
      <c r="A489" t="s">
        <v>197</v>
      </c>
      <c r="B489" t="s">
        <v>36</v>
      </c>
      <c r="C489" t="s">
        <v>153</v>
      </c>
      <c r="D489" t="s">
        <v>146</v>
      </c>
      <c r="E489" t="s">
        <v>204</v>
      </c>
      <c r="F489" t="s">
        <v>199</v>
      </c>
      <c r="G489" t="s">
        <v>17</v>
      </c>
      <c r="H489" s="46">
        <v>0</v>
      </c>
      <c r="I489" s="46">
        <v>0</v>
      </c>
      <c r="J489" s="46">
        <v>0</v>
      </c>
      <c r="K489" s="46">
        <v>4</v>
      </c>
      <c r="L489" s="46">
        <v>4</v>
      </c>
      <c r="M489" s="48">
        <v>0</v>
      </c>
    </row>
    <row r="490" spans="1:13" x14ac:dyDescent="0.35">
      <c r="A490" t="s">
        <v>197</v>
      </c>
      <c r="B490" t="s">
        <v>36</v>
      </c>
      <c r="C490" t="s">
        <v>154</v>
      </c>
      <c r="D490" t="s">
        <v>146</v>
      </c>
      <c r="E490" t="s">
        <v>204</v>
      </c>
      <c r="F490" t="s">
        <v>199</v>
      </c>
      <c r="G490" t="s">
        <v>17</v>
      </c>
      <c r="H490" s="46">
        <v>1</v>
      </c>
      <c r="I490" s="46">
        <v>1</v>
      </c>
      <c r="J490" s="46">
        <v>0</v>
      </c>
      <c r="K490" s="46">
        <v>20</v>
      </c>
      <c r="L490" s="46">
        <v>19</v>
      </c>
      <c r="M490" s="48">
        <v>5.2631578947368397E-2</v>
      </c>
    </row>
    <row r="491" spans="1:13" x14ac:dyDescent="0.35">
      <c r="A491" t="s">
        <v>197</v>
      </c>
      <c r="B491" t="s">
        <v>36</v>
      </c>
      <c r="C491" t="s">
        <v>155</v>
      </c>
      <c r="D491" t="s">
        <v>146</v>
      </c>
      <c r="E491" t="s">
        <v>204</v>
      </c>
      <c r="F491" t="s">
        <v>199</v>
      </c>
      <c r="G491" t="s">
        <v>17</v>
      </c>
      <c r="H491" s="46">
        <v>1</v>
      </c>
      <c r="I491" s="46">
        <v>1</v>
      </c>
      <c r="J491" s="46">
        <v>0</v>
      </c>
      <c r="K491" s="46">
        <v>8</v>
      </c>
      <c r="L491" s="46">
        <v>4</v>
      </c>
      <c r="M491" s="48">
        <v>0.25</v>
      </c>
    </row>
    <row r="492" spans="1:13" x14ac:dyDescent="0.35">
      <c r="A492" t="s">
        <v>197</v>
      </c>
      <c r="B492" t="s">
        <v>36</v>
      </c>
      <c r="C492" t="s">
        <v>156</v>
      </c>
      <c r="D492" t="s">
        <v>146</v>
      </c>
      <c r="E492" t="s">
        <v>204</v>
      </c>
      <c r="F492" t="s">
        <v>199</v>
      </c>
      <c r="G492" t="s">
        <v>17</v>
      </c>
      <c r="H492" s="46">
        <v>1</v>
      </c>
      <c r="I492" s="46">
        <v>1</v>
      </c>
      <c r="J492" s="46">
        <v>0</v>
      </c>
      <c r="K492" s="46">
        <v>9</v>
      </c>
      <c r="L492" s="46">
        <v>9</v>
      </c>
      <c r="M492" s="48">
        <v>0.11111111111111099</v>
      </c>
    </row>
    <row r="493" spans="1:13" x14ac:dyDescent="0.35">
      <c r="A493" t="s">
        <v>197</v>
      </c>
      <c r="B493" t="s">
        <v>36</v>
      </c>
      <c r="C493" t="s">
        <v>157</v>
      </c>
      <c r="D493" t="s">
        <v>146</v>
      </c>
      <c r="E493" t="s">
        <v>204</v>
      </c>
      <c r="F493" t="s">
        <v>199</v>
      </c>
      <c r="G493" t="s">
        <v>17</v>
      </c>
      <c r="H493" s="46">
        <v>0</v>
      </c>
      <c r="I493" s="46">
        <v>0</v>
      </c>
      <c r="J493" s="46">
        <v>0</v>
      </c>
      <c r="K493" s="46">
        <v>12</v>
      </c>
      <c r="L493" s="46">
        <v>8</v>
      </c>
      <c r="M493" s="48">
        <v>0</v>
      </c>
    </row>
    <row r="494" spans="1:13" x14ac:dyDescent="0.35">
      <c r="A494" t="s">
        <v>197</v>
      </c>
      <c r="B494" t="s">
        <v>36</v>
      </c>
      <c r="C494" t="s">
        <v>158</v>
      </c>
      <c r="D494" t="s">
        <v>146</v>
      </c>
      <c r="E494" t="s">
        <v>204</v>
      </c>
      <c r="F494" t="s">
        <v>199</v>
      </c>
      <c r="G494" t="s">
        <v>17</v>
      </c>
      <c r="H494" s="46">
        <v>3</v>
      </c>
      <c r="I494" s="46">
        <v>3</v>
      </c>
      <c r="J494" s="46">
        <v>0</v>
      </c>
      <c r="K494" s="46">
        <v>42</v>
      </c>
      <c r="L494" s="46">
        <v>41</v>
      </c>
      <c r="M494" s="48">
        <v>7.3170731707317097E-2</v>
      </c>
    </row>
    <row r="495" spans="1:13" x14ac:dyDescent="0.35">
      <c r="A495" t="s">
        <v>197</v>
      </c>
      <c r="B495" t="s">
        <v>36</v>
      </c>
      <c r="C495" t="s">
        <v>148</v>
      </c>
      <c r="D495" t="s">
        <v>146</v>
      </c>
      <c r="E495" t="s">
        <v>204</v>
      </c>
      <c r="F495" t="s">
        <v>199</v>
      </c>
      <c r="G495" t="s">
        <v>17</v>
      </c>
      <c r="H495" s="46">
        <v>13</v>
      </c>
      <c r="I495" s="46">
        <v>12</v>
      </c>
      <c r="J495" s="46">
        <v>0</v>
      </c>
      <c r="K495" s="46">
        <v>169</v>
      </c>
      <c r="L495" s="46">
        <v>157</v>
      </c>
      <c r="M495" s="48">
        <v>8.2802547770700605E-2</v>
      </c>
    </row>
    <row r="496" spans="1:13" x14ac:dyDescent="0.35">
      <c r="A496" t="s">
        <v>197</v>
      </c>
      <c r="B496" t="s">
        <v>36</v>
      </c>
      <c r="C496" t="s">
        <v>157</v>
      </c>
      <c r="D496" t="s">
        <v>146</v>
      </c>
      <c r="E496" t="s">
        <v>205</v>
      </c>
      <c r="F496" t="s">
        <v>199</v>
      </c>
      <c r="G496" t="s">
        <v>181</v>
      </c>
      <c r="H496" s="46">
        <v>0</v>
      </c>
      <c r="I496" s="46">
        <v>0</v>
      </c>
      <c r="J496" s="46">
        <v>0</v>
      </c>
      <c r="K496" s="46">
        <v>9</v>
      </c>
      <c r="L496" s="46">
        <v>9</v>
      </c>
      <c r="M496" s="48">
        <v>0</v>
      </c>
    </row>
    <row r="497" spans="1:13" x14ac:dyDescent="0.35">
      <c r="A497" t="s">
        <v>197</v>
      </c>
      <c r="B497" t="s">
        <v>36</v>
      </c>
      <c r="C497" t="s">
        <v>150</v>
      </c>
      <c r="D497" t="s">
        <v>146</v>
      </c>
      <c r="E497" t="s">
        <v>206</v>
      </c>
      <c r="F497" t="s">
        <v>199</v>
      </c>
      <c r="G497" t="s">
        <v>18</v>
      </c>
      <c r="H497" s="46">
        <v>3</v>
      </c>
      <c r="I497" s="46">
        <v>2</v>
      </c>
      <c r="J497" s="46">
        <v>0</v>
      </c>
      <c r="K497" s="46">
        <v>10</v>
      </c>
      <c r="L497" s="46">
        <v>9</v>
      </c>
      <c r="M497" s="48">
        <v>0.33333333333333298</v>
      </c>
    </row>
    <row r="498" spans="1:13" x14ac:dyDescent="0.35">
      <c r="A498" t="s">
        <v>197</v>
      </c>
      <c r="B498" t="s">
        <v>36</v>
      </c>
      <c r="C498" t="s">
        <v>151</v>
      </c>
      <c r="D498" t="s">
        <v>146</v>
      </c>
      <c r="E498" t="s">
        <v>206</v>
      </c>
      <c r="F498" t="s">
        <v>199</v>
      </c>
      <c r="G498" t="s">
        <v>18</v>
      </c>
      <c r="H498" s="46">
        <v>0</v>
      </c>
      <c r="I498" s="46">
        <v>0</v>
      </c>
      <c r="J498" s="46">
        <v>0</v>
      </c>
      <c r="K498" s="46">
        <v>13</v>
      </c>
      <c r="L498" s="46">
        <v>13</v>
      </c>
      <c r="M498" s="48">
        <v>0</v>
      </c>
    </row>
    <row r="499" spans="1:13" x14ac:dyDescent="0.35">
      <c r="A499" t="s">
        <v>197</v>
      </c>
      <c r="B499" t="s">
        <v>36</v>
      </c>
      <c r="C499" t="s">
        <v>152</v>
      </c>
      <c r="D499" t="s">
        <v>146</v>
      </c>
      <c r="E499" t="s">
        <v>206</v>
      </c>
      <c r="F499" t="s">
        <v>199</v>
      </c>
      <c r="G499" t="s">
        <v>18</v>
      </c>
      <c r="H499" s="46">
        <v>10</v>
      </c>
      <c r="I499" s="46">
        <v>10</v>
      </c>
      <c r="J499" s="46">
        <v>0</v>
      </c>
      <c r="K499" s="46">
        <v>107</v>
      </c>
      <c r="L499" s="46">
        <v>92</v>
      </c>
      <c r="M499" s="48">
        <v>0.108695652173913</v>
      </c>
    </row>
    <row r="500" spans="1:13" x14ac:dyDescent="0.35">
      <c r="A500" t="s">
        <v>197</v>
      </c>
      <c r="B500" t="s">
        <v>36</v>
      </c>
      <c r="C500" t="s">
        <v>153</v>
      </c>
      <c r="D500" t="s">
        <v>146</v>
      </c>
      <c r="E500" t="s">
        <v>206</v>
      </c>
      <c r="F500" t="s">
        <v>199</v>
      </c>
      <c r="G500" t="s">
        <v>18</v>
      </c>
      <c r="H500" s="46">
        <v>0</v>
      </c>
      <c r="I500" s="46">
        <v>0</v>
      </c>
      <c r="J500" s="46">
        <v>0</v>
      </c>
      <c r="K500" s="46">
        <v>5</v>
      </c>
      <c r="L500" s="46">
        <v>4</v>
      </c>
      <c r="M500" s="48">
        <v>0</v>
      </c>
    </row>
    <row r="501" spans="1:13" x14ac:dyDescent="0.35">
      <c r="A501" t="s">
        <v>197</v>
      </c>
      <c r="B501" t="s">
        <v>36</v>
      </c>
      <c r="C501" t="s">
        <v>154</v>
      </c>
      <c r="D501" t="s">
        <v>146</v>
      </c>
      <c r="E501" t="s">
        <v>206</v>
      </c>
      <c r="F501" t="s">
        <v>199</v>
      </c>
      <c r="G501" t="s">
        <v>18</v>
      </c>
      <c r="H501" s="46">
        <v>0</v>
      </c>
      <c r="I501" s="46">
        <v>0</v>
      </c>
      <c r="J501" s="46">
        <v>0</v>
      </c>
      <c r="K501" s="46">
        <v>17</v>
      </c>
      <c r="L501" s="46">
        <v>17</v>
      </c>
      <c r="M501" s="48">
        <v>0</v>
      </c>
    </row>
    <row r="502" spans="1:13" x14ac:dyDescent="0.35">
      <c r="A502" t="s">
        <v>197</v>
      </c>
      <c r="B502" t="s">
        <v>36</v>
      </c>
      <c r="C502" t="s">
        <v>148</v>
      </c>
      <c r="D502" t="s">
        <v>146</v>
      </c>
      <c r="E502" t="s">
        <v>206</v>
      </c>
      <c r="F502" t="s">
        <v>199</v>
      </c>
      <c r="G502" t="s">
        <v>18</v>
      </c>
      <c r="H502" s="46">
        <v>11</v>
      </c>
      <c r="I502" s="46">
        <v>9</v>
      </c>
      <c r="J502" s="46">
        <v>1</v>
      </c>
      <c r="K502" s="46">
        <v>159</v>
      </c>
      <c r="L502" s="46">
        <v>149</v>
      </c>
      <c r="M502" s="48">
        <v>7.3825503355704702E-2</v>
      </c>
    </row>
    <row r="503" spans="1:13" x14ac:dyDescent="0.35">
      <c r="A503" t="s">
        <v>197</v>
      </c>
      <c r="B503" t="s">
        <v>36</v>
      </c>
      <c r="C503" t="s">
        <v>155</v>
      </c>
      <c r="D503" t="s">
        <v>146</v>
      </c>
      <c r="E503" t="s">
        <v>206</v>
      </c>
      <c r="F503" t="s">
        <v>199</v>
      </c>
      <c r="G503" t="s">
        <v>18</v>
      </c>
      <c r="H503" s="46">
        <v>1</v>
      </c>
      <c r="I503" s="46">
        <v>1</v>
      </c>
      <c r="J503" s="46">
        <v>0</v>
      </c>
      <c r="K503" s="46">
        <v>9</v>
      </c>
      <c r="L503" s="46">
        <v>8</v>
      </c>
      <c r="M503" s="48">
        <v>0.125</v>
      </c>
    </row>
    <row r="504" spans="1:13" x14ac:dyDescent="0.35">
      <c r="A504" t="s">
        <v>197</v>
      </c>
      <c r="B504" t="s">
        <v>36</v>
      </c>
      <c r="C504" t="s">
        <v>156</v>
      </c>
      <c r="D504" t="s">
        <v>146</v>
      </c>
      <c r="E504" t="s">
        <v>206</v>
      </c>
      <c r="F504" t="s">
        <v>199</v>
      </c>
      <c r="G504" t="s">
        <v>18</v>
      </c>
      <c r="H504" s="46">
        <v>1</v>
      </c>
      <c r="I504" s="46">
        <v>1</v>
      </c>
      <c r="J504" s="46">
        <v>0</v>
      </c>
      <c r="K504" s="46">
        <v>6</v>
      </c>
      <c r="L504" s="46">
        <v>6</v>
      </c>
      <c r="M504" s="48">
        <v>0.16666666666666699</v>
      </c>
    </row>
    <row r="505" spans="1:13" x14ac:dyDescent="0.35">
      <c r="A505" t="s">
        <v>197</v>
      </c>
      <c r="B505" t="s">
        <v>36</v>
      </c>
      <c r="C505" t="s">
        <v>157</v>
      </c>
      <c r="D505" t="s">
        <v>146</v>
      </c>
      <c r="E505" t="s">
        <v>206</v>
      </c>
      <c r="F505" t="s">
        <v>199</v>
      </c>
      <c r="G505" t="s">
        <v>18</v>
      </c>
      <c r="H505" s="46">
        <v>0</v>
      </c>
      <c r="I505" s="46">
        <v>0</v>
      </c>
      <c r="J505" s="46">
        <v>0</v>
      </c>
      <c r="K505" s="46">
        <v>8</v>
      </c>
      <c r="L505" s="46">
        <v>7</v>
      </c>
      <c r="M505" s="48">
        <v>0</v>
      </c>
    </row>
    <row r="506" spans="1:13" x14ac:dyDescent="0.35">
      <c r="A506" t="s">
        <v>197</v>
      </c>
      <c r="B506" t="s">
        <v>36</v>
      </c>
      <c r="C506" t="s">
        <v>158</v>
      </c>
      <c r="D506" t="s">
        <v>146</v>
      </c>
      <c r="E506" t="s">
        <v>206</v>
      </c>
      <c r="F506" t="s">
        <v>199</v>
      </c>
      <c r="G506" t="s">
        <v>18</v>
      </c>
      <c r="H506" s="46">
        <v>3</v>
      </c>
      <c r="I506" s="46">
        <v>3</v>
      </c>
      <c r="J506" s="46">
        <v>0</v>
      </c>
      <c r="K506" s="46">
        <v>52</v>
      </c>
      <c r="L506" s="46">
        <v>47</v>
      </c>
      <c r="M506" s="48">
        <v>6.3829787234042507E-2</v>
      </c>
    </row>
    <row r="507" spans="1:13" x14ac:dyDescent="0.35">
      <c r="A507" t="s">
        <v>197</v>
      </c>
      <c r="B507" t="s">
        <v>36</v>
      </c>
      <c r="C507" t="s">
        <v>145</v>
      </c>
      <c r="D507" t="s">
        <v>146</v>
      </c>
      <c r="E507" t="s">
        <v>207</v>
      </c>
      <c r="F507" t="s">
        <v>199</v>
      </c>
      <c r="G507" t="s">
        <v>199</v>
      </c>
      <c r="H507" s="46">
        <v>2</v>
      </c>
      <c r="I507" s="46">
        <v>2</v>
      </c>
      <c r="J507" s="46">
        <v>0</v>
      </c>
      <c r="K507" s="46">
        <v>29</v>
      </c>
      <c r="L507" s="46">
        <v>27</v>
      </c>
      <c r="M507" s="48">
        <v>7.4074074074074098E-2</v>
      </c>
    </row>
    <row r="508" spans="1:13" x14ac:dyDescent="0.35">
      <c r="A508" t="s">
        <v>197</v>
      </c>
      <c r="B508" t="s">
        <v>36</v>
      </c>
      <c r="C508" t="s">
        <v>148</v>
      </c>
      <c r="D508" t="s">
        <v>146</v>
      </c>
      <c r="E508" t="s">
        <v>208</v>
      </c>
      <c r="F508" t="s">
        <v>199</v>
      </c>
      <c r="G508" t="s">
        <v>18</v>
      </c>
      <c r="H508" s="46">
        <v>13</v>
      </c>
      <c r="I508" s="46">
        <v>13</v>
      </c>
      <c r="J508" s="46">
        <v>0</v>
      </c>
      <c r="K508" s="46">
        <v>182</v>
      </c>
      <c r="L508" s="46">
        <v>173</v>
      </c>
      <c r="M508" s="48">
        <v>7.5144508670520194E-2</v>
      </c>
    </row>
    <row r="509" spans="1:13" x14ac:dyDescent="0.35">
      <c r="A509" t="s">
        <v>197</v>
      </c>
      <c r="B509" t="s">
        <v>36</v>
      </c>
      <c r="C509" t="s">
        <v>151</v>
      </c>
      <c r="D509" t="s">
        <v>146</v>
      </c>
      <c r="E509" t="s">
        <v>208</v>
      </c>
      <c r="F509" t="s">
        <v>199</v>
      </c>
      <c r="G509" t="s">
        <v>18</v>
      </c>
      <c r="H509" s="46">
        <v>1</v>
      </c>
      <c r="I509" s="46">
        <v>1</v>
      </c>
      <c r="J509" s="46">
        <v>0</v>
      </c>
      <c r="K509" s="46">
        <v>18</v>
      </c>
      <c r="L509" s="46">
        <v>17</v>
      </c>
      <c r="M509" s="48">
        <v>5.8823529411764698E-2</v>
      </c>
    </row>
    <row r="510" spans="1:13" x14ac:dyDescent="0.35">
      <c r="A510" t="s">
        <v>197</v>
      </c>
      <c r="B510" t="s">
        <v>36</v>
      </c>
      <c r="C510" t="s">
        <v>154</v>
      </c>
      <c r="D510" t="s">
        <v>146</v>
      </c>
      <c r="E510" t="s">
        <v>208</v>
      </c>
      <c r="F510" t="s">
        <v>199</v>
      </c>
      <c r="G510" t="s">
        <v>18</v>
      </c>
      <c r="H510" s="46">
        <v>2</v>
      </c>
      <c r="I510" s="46">
        <v>2</v>
      </c>
      <c r="J510" s="46">
        <v>0</v>
      </c>
      <c r="K510" s="46">
        <v>22</v>
      </c>
      <c r="L510" s="46">
        <v>22</v>
      </c>
      <c r="M510" s="48">
        <v>9.0909090909090898E-2</v>
      </c>
    </row>
    <row r="511" spans="1:13" x14ac:dyDescent="0.35">
      <c r="A511" t="s">
        <v>197</v>
      </c>
      <c r="B511" t="s">
        <v>36</v>
      </c>
      <c r="C511" t="s">
        <v>152</v>
      </c>
      <c r="D511" t="s">
        <v>146</v>
      </c>
      <c r="E511" t="s">
        <v>208</v>
      </c>
      <c r="F511" t="s">
        <v>199</v>
      </c>
      <c r="G511" t="s">
        <v>18</v>
      </c>
      <c r="H511" s="46">
        <v>11</v>
      </c>
      <c r="I511" s="46">
        <v>11</v>
      </c>
      <c r="J511" s="46">
        <v>0</v>
      </c>
      <c r="K511" s="46">
        <v>103</v>
      </c>
      <c r="L511" s="46">
        <v>92</v>
      </c>
      <c r="M511" s="48">
        <v>0.119565217391304</v>
      </c>
    </row>
    <row r="512" spans="1:13" x14ac:dyDescent="0.35">
      <c r="A512" t="s">
        <v>197</v>
      </c>
      <c r="B512" t="s">
        <v>36</v>
      </c>
      <c r="C512" t="s">
        <v>153</v>
      </c>
      <c r="D512" t="s">
        <v>146</v>
      </c>
      <c r="E512" t="s">
        <v>208</v>
      </c>
      <c r="F512" t="s">
        <v>199</v>
      </c>
      <c r="G512" t="s">
        <v>18</v>
      </c>
      <c r="H512" s="46">
        <v>0</v>
      </c>
      <c r="I512" s="46">
        <v>0</v>
      </c>
      <c r="J512" s="46">
        <v>0</v>
      </c>
      <c r="K512" s="46">
        <v>9</v>
      </c>
      <c r="L512" s="46">
        <v>9</v>
      </c>
      <c r="M512" s="48">
        <v>0</v>
      </c>
    </row>
    <row r="513" spans="1:13" x14ac:dyDescent="0.35">
      <c r="A513" t="s">
        <v>197</v>
      </c>
      <c r="B513" t="s">
        <v>36</v>
      </c>
      <c r="C513" t="s">
        <v>155</v>
      </c>
      <c r="D513" t="s">
        <v>146</v>
      </c>
      <c r="E513" t="s">
        <v>208</v>
      </c>
      <c r="F513" t="s">
        <v>199</v>
      </c>
      <c r="G513" t="s">
        <v>18</v>
      </c>
      <c r="H513" s="46">
        <v>2</v>
      </c>
      <c r="I513" s="46">
        <v>2</v>
      </c>
      <c r="J513" s="46">
        <v>0</v>
      </c>
      <c r="K513" s="46">
        <v>9</v>
      </c>
      <c r="L513" s="46">
        <v>9</v>
      </c>
      <c r="M513" s="48">
        <v>0.22222222222222199</v>
      </c>
    </row>
    <row r="514" spans="1:13" x14ac:dyDescent="0.35">
      <c r="A514" t="s">
        <v>197</v>
      </c>
      <c r="B514" t="s">
        <v>36</v>
      </c>
      <c r="C514" t="s">
        <v>156</v>
      </c>
      <c r="D514" t="s">
        <v>146</v>
      </c>
      <c r="E514" t="s">
        <v>208</v>
      </c>
      <c r="F514" t="s">
        <v>199</v>
      </c>
      <c r="G514" t="s">
        <v>18</v>
      </c>
      <c r="H514" s="46">
        <v>2</v>
      </c>
      <c r="I514" s="46">
        <v>2</v>
      </c>
      <c r="J514" s="46">
        <v>0</v>
      </c>
      <c r="K514" s="46">
        <v>16</v>
      </c>
      <c r="L514" s="46">
        <v>16</v>
      </c>
      <c r="M514" s="48">
        <v>0.125</v>
      </c>
    </row>
    <row r="515" spans="1:13" x14ac:dyDescent="0.35">
      <c r="A515" t="s">
        <v>197</v>
      </c>
      <c r="B515" t="s">
        <v>36</v>
      </c>
      <c r="C515" t="s">
        <v>157</v>
      </c>
      <c r="D515" t="s">
        <v>146</v>
      </c>
      <c r="E515" t="s">
        <v>208</v>
      </c>
      <c r="F515" t="s">
        <v>199</v>
      </c>
      <c r="G515" t="s">
        <v>18</v>
      </c>
      <c r="H515" s="46">
        <v>1</v>
      </c>
      <c r="I515" s="46">
        <v>1</v>
      </c>
      <c r="J515" s="46">
        <v>0</v>
      </c>
      <c r="K515" s="46">
        <v>12</v>
      </c>
      <c r="L515" s="46">
        <v>12</v>
      </c>
      <c r="M515" s="48">
        <v>8.3333333333333301E-2</v>
      </c>
    </row>
    <row r="516" spans="1:13" x14ac:dyDescent="0.35">
      <c r="A516" t="s">
        <v>197</v>
      </c>
      <c r="B516" t="s">
        <v>36</v>
      </c>
      <c r="C516" t="s">
        <v>158</v>
      </c>
      <c r="D516" t="s">
        <v>146</v>
      </c>
      <c r="E516" t="s">
        <v>208</v>
      </c>
      <c r="F516" t="s">
        <v>199</v>
      </c>
      <c r="G516" t="s">
        <v>18</v>
      </c>
      <c r="H516" s="46">
        <v>4</v>
      </c>
      <c r="I516" s="46">
        <v>4</v>
      </c>
      <c r="J516" s="46">
        <v>0</v>
      </c>
      <c r="K516" s="46">
        <v>62</v>
      </c>
      <c r="L516" s="46">
        <v>57</v>
      </c>
      <c r="M516" s="48">
        <v>7.0175438596491196E-2</v>
      </c>
    </row>
    <row r="517" spans="1:13" x14ac:dyDescent="0.35">
      <c r="A517" t="s">
        <v>197</v>
      </c>
      <c r="B517" t="s">
        <v>36</v>
      </c>
      <c r="C517" t="s">
        <v>150</v>
      </c>
      <c r="D517" t="s">
        <v>146</v>
      </c>
      <c r="E517" t="s">
        <v>208</v>
      </c>
      <c r="F517" t="s">
        <v>199</v>
      </c>
      <c r="G517" t="s">
        <v>18</v>
      </c>
      <c r="H517" s="46">
        <v>2</v>
      </c>
      <c r="I517" s="46">
        <v>2</v>
      </c>
      <c r="J517" s="46">
        <v>0</v>
      </c>
      <c r="K517" s="46">
        <v>12</v>
      </c>
      <c r="L517" s="46">
        <v>11</v>
      </c>
      <c r="M517" s="48">
        <v>0.18181818181818199</v>
      </c>
    </row>
    <row r="518" spans="1:13" x14ac:dyDescent="0.35">
      <c r="A518" t="s">
        <v>209</v>
      </c>
      <c r="B518" t="s">
        <v>13</v>
      </c>
      <c r="C518" t="s">
        <v>149</v>
      </c>
      <c r="D518" t="s">
        <v>146</v>
      </c>
      <c r="E518" t="s">
        <v>210</v>
      </c>
      <c r="F518" t="s">
        <v>16</v>
      </c>
      <c r="G518" t="s">
        <v>211</v>
      </c>
      <c r="H518" s="46">
        <v>3</v>
      </c>
      <c r="I518" s="46">
        <v>0</v>
      </c>
      <c r="J518" s="46">
        <v>0</v>
      </c>
      <c r="K518" s="46">
        <v>126</v>
      </c>
      <c r="L518" s="46">
        <v>125</v>
      </c>
      <c r="M518" s="48">
        <v>2.4E-2</v>
      </c>
    </row>
    <row r="519" spans="1:13" x14ac:dyDescent="0.35">
      <c r="A519" t="s">
        <v>209</v>
      </c>
      <c r="B519" t="s">
        <v>13</v>
      </c>
      <c r="C519" t="s">
        <v>212</v>
      </c>
      <c r="D519" t="s">
        <v>146</v>
      </c>
      <c r="E519" t="s">
        <v>210</v>
      </c>
      <c r="F519" t="s">
        <v>16</v>
      </c>
      <c r="G519" t="s">
        <v>211</v>
      </c>
      <c r="H519" s="46">
        <v>7</v>
      </c>
      <c r="I519" s="46">
        <v>0</v>
      </c>
      <c r="J519" s="46">
        <v>1</v>
      </c>
      <c r="K519" s="46">
        <v>46</v>
      </c>
      <c r="L519" s="46">
        <v>43</v>
      </c>
      <c r="M519" s="48">
        <v>0.162790697674419</v>
      </c>
    </row>
    <row r="520" spans="1:13" x14ac:dyDescent="0.35">
      <c r="A520" t="s">
        <v>209</v>
      </c>
      <c r="B520" t="s">
        <v>13</v>
      </c>
      <c r="C520" t="s">
        <v>145</v>
      </c>
      <c r="D520" t="s">
        <v>146</v>
      </c>
      <c r="E520" t="s">
        <v>210</v>
      </c>
      <c r="F520" t="s">
        <v>44</v>
      </c>
      <c r="G520" t="s">
        <v>44</v>
      </c>
      <c r="H520" s="46">
        <v>0</v>
      </c>
      <c r="I520" s="46">
        <v>0</v>
      </c>
      <c r="J520" s="46">
        <v>0</v>
      </c>
      <c r="K520" s="46">
        <v>7</v>
      </c>
      <c r="L520" s="46">
        <v>7</v>
      </c>
      <c r="M520" s="48">
        <v>0</v>
      </c>
    </row>
    <row r="521" spans="1:13" x14ac:dyDescent="0.35">
      <c r="A521" t="s">
        <v>209</v>
      </c>
      <c r="B521" t="s">
        <v>13</v>
      </c>
      <c r="C521" t="s">
        <v>156</v>
      </c>
      <c r="D521" t="s">
        <v>146</v>
      </c>
      <c r="E521" t="s">
        <v>213</v>
      </c>
      <c r="F521" t="s">
        <v>21</v>
      </c>
      <c r="G521" t="s">
        <v>21</v>
      </c>
      <c r="H521" s="46">
        <v>23550</v>
      </c>
      <c r="I521" s="46">
        <v>0</v>
      </c>
      <c r="J521" s="46">
        <v>7</v>
      </c>
      <c r="K521" s="46">
        <v>87377</v>
      </c>
      <c r="L521" s="46">
        <v>62705</v>
      </c>
      <c r="M521" s="48">
        <v>0.37556813651224003</v>
      </c>
    </row>
    <row r="522" spans="1:13" x14ac:dyDescent="0.35">
      <c r="A522" t="s">
        <v>209</v>
      </c>
      <c r="B522" t="s">
        <v>13</v>
      </c>
      <c r="C522" t="s">
        <v>149</v>
      </c>
      <c r="D522" t="s">
        <v>146</v>
      </c>
      <c r="E522" t="s">
        <v>214</v>
      </c>
      <c r="F522" t="s">
        <v>16</v>
      </c>
      <c r="G522" t="s">
        <v>215</v>
      </c>
      <c r="H522" s="46">
        <v>2</v>
      </c>
      <c r="I522" s="46">
        <v>0</v>
      </c>
      <c r="J522" s="46">
        <v>1</v>
      </c>
      <c r="K522" s="46">
        <v>148</v>
      </c>
      <c r="L522" s="46">
        <v>144</v>
      </c>
      <c r="M522" s="48">
        <v>1.38888888888889E-2</v>
      </c>
    </row>
    <row r="523" spans="1:13" x14ac:dyDescent="0.35">
      <c r="A523" t="s">
        <v>209</v>
      </c>
      <c r="B523" t="s">
        <v>13</v>
      </c>
      <c r="C523" t="s">
        <v>212</v>
      </c>
      <c r="D523" t="s">
        <v>146</v>
      </c>
      <c r="E523" t="s">
        <v>214</v>
      </c>
      <c r="F523" t="s">
        <v>16</v>
      </c>
      <c r="G523" t="s">
        <v>215</v>
      </c>
      <c r="H523" s="46">
        <v>9</v>
      </c>
      <c r="I523" s="46">
        <v>0</v>
      </c>
      <c r="J523" s="46">
        <v>1</v>
      </c>
      <c r="K523" s="46">
        <v>116</v>
      </c>
      <c r="L523" s="46">
        <v>109</v>
      </c>
      <c r="M523" s="48">
        <v>8.2568807339449504E-2</v>
      </c>
    </row>
    <row r="524" spans="1:13" x14ac:dyDescent="0.35">
      <c r="A524" t="s">
        <v>209</v>
      </c>
      <c r="B524" t="s">
        <v>13</v>
      </c>
      <c r="C524" t="s">
        <v>156</v>
      </c>
      <c r="D524" t="s">
        <v>146</v>
      </c>
      <c r="E524" t="s">
        <v>216</v>
      </c>
      <c r="F524" t="s">
        <v>16</v>
      </c>
      <c r="G524" t="s">
        <v>215</v>
      </c>
      <c r="H524" s="46">
        <v>3</v>
      </c>
      <c r="I524" s="46">
        <v>0</v>
      </c>
      <c r="J524" s="46">
        <v>1</v>
      </c>
      <c r="K524" s="46">
        <v>33</v>
      </c>
      <c r="L524" s="46">
        <v>30</v>
      </c>
      <c r="M524" s="48">
        <v>0.1</v>
      </c>
    </row>
    <row r="525" spans="1:13" x14ac:dyDescent="0.35">
      <c r="A525" t="s">
        <v>209</v>
      </c>
      <c r="B525" t="s">
        <v>13</v>
      </c>
      <c r="C525" t="s">
        <v>149</v>
      </c>
      <c r="D525" t="s">
        <v>146</v>
      </c>
      <c r="E525" t="s">
        <v>217</v>
      </c>
      <c r="F525" t="s">
        <v>16</v>
      </c>
      <c r="G525" t="s">
        <v>215</v>
      </c>
      <c r="H525" s="46">
        <v>1</v>
      </c>
      <c r="I525" s="46">
        <v>0</v>
      </c>
      <c r="J525" s="46">
        <v>0</v>
      </c>
      <c r="K525" s="46">
        <v>134</v>
      </c>
      <c r="L525" s="46">
        <v>131</v>
      </c>
      <c r="M525" s="48">
        <v>7.63358778625954E-3</v>
      </c>
    </row>
    <row r="526" spans="1:13" x14ac:dyDescent="0.35">
      <c r="A526" t="s">
        <v>209</v>
      </c>
      <c r="B526" t="s">
        <v>13</v>
      </c>
      <c r="C526" t="s">
        <v>212</v>
      </c>
      <c r="D526" t="s">
        <v>146</v>
      </c>
      <c r="E526" t="s">
        <v>217</v>
      </c>
      <c r="F526" t="s">
        <v>16</v>
      </c>
      <c r="G526" t="s">
        <v>215</v>
      </c>
      <c r="H526" s="46">
        <v>9</v>
      </c>
      <c r="I526" s="46">
        <v>0</v>
      </c>
      <c r="J526" s="46">
        <v>1</v>
      </c>
      <c r="K526" s="46">
        <v>87</v>
      </c>
      <c r="L526" s="46">
        <v>78</v>
      </c>
      <c r="M526" s="48">
        <v>0.115384615384615</v>
      </c>
    </row>
    <row r="527" spans="1:13" x14ac:dyDescent="0.35">
      <c r="A527" t="s">
        <v>209</v>
      </c>
      <c r="B527" t="s">
        <v>13</v>
      </c>
      <c r="C527" t="s">
        <v>150</v>
      </c>
      <c r="D527" t="s">
        <v>146</v>
      </c>
      <c r="E527" t="s">
        <v>217</v>
      </c>
      <c r="F527" t="s">
        <v>16</v>
      </c>
      <c r="G527" t="s">
        <v>215</v>
      </c>
      <c r="H527" s="46">
        <v>1</v>
      </c>
      <c r="I527" s="46">
        <v>0</v>
      </c>
      <c r="J527" s="46">
        <v>0</v>
      </c>
      <c r="K527" s="46">
        <v>65</v>
      </c>
      <c r="L527" s="46">
        <v>64</v>
      </c>
      <c r="M527" s="48">
        <v>1.5625E-2</v>
      </c>
    </row>
    <row r="528" spans="1:13" x14ac:dyDescent="0.35">
      <c r="A528" t="s">
        <v>209</v>
      </c>
      <c r="B528" t="s">
        <v>13</v>
      </c>
      <c r="C528" t="s">
        <v>151</v>
      </c>
      <c r="D528" t="s">
        <v>146</v>
      </c>
      <c r="E528" t="s">
        <v>217</v>
      </c>
      <c r="F528" t="s">
        <v>16</v>
      </c>
      <c r="G528" t="s">
        <v>215</v>
      </c>
      <c r="H528" s="46">
        <v>1</v>
      </c>
      <c r="I528" s="46">
        <v>0</v>
      </c>
      <c r="J528" s="46">
        <v>0</v>
      </c>
      <c r="K528" s="46">
        <v>39</v>
      </c>
      <c r="L528" s="46">
        <v>38</v>
      </c>
      <c r="M528" s="48">
        <v>2.6315789473684199E-2</v>
      </c>
    </row>
    <row r="529" spans="1:13" x14ac:dyDescent="0.35">
      <c r="A529" t="s">
        <v>209</v>
      </c>
      <c r="B529" t="s">
        <v>13</v>
      </c>
      <c r="C529" t="s">
        <v>152</v>
      </c>
      <c r="D529" t="s">
        <v>146</v>
      </c>
      <c r="E529" t="s">
        <v>217</v>
      </c>
      <c r="F529" t="s">
        <v>16</v>
      </c>
      <c r="G529" t="s">
        <v>215</v>
      </c>
      <c r="H529" s="46">
        <v>4</v>
      </c>
      <c r="I529" s="46">
        <v>0</v>
      </c>
      <c r="J529" s="46">
        <v>3</v>
      </c>
      <c r="K529" s="46">
        <v>20</v>
      </c>
      <c r="L529" s="46">
        <v>20</v>
      </c>
      <c r="M529" s="48">
        <v>0.2</v>
      </c>
    </row>
    <row r="530" spans="1:13" x14ac:dyDescent="0.35">
      <c r="A530" t="s">
        <v>209</v>
      </c>
      <c r="B530" t="s">
        <v>13</v>
      </c>
      <c r="C530" t="s">
        <v>153</v>
      </c>
      <c r="D530" t="s">
        <v>146</v>
      </c>
      <c r="E530" t="s">
        <v>217</v>
      </c>
      <c r="F530" t="s">
        <v>16</v>
      </c>
      <c r="G530" t="s">
        <v>215</v>
      </c>
      <c r="H530" s="46">
        <v>0</v>
      </c>
      <c r="I530" s="46">
        <v>0</v>
      </c>
      <c r="J530" s="46">
        <v>0</v>
      </c>
      <c r="K530" s="46">
        <v>29</v>
      </c>
      <c r="L530" s="46">
        <v>27</v>
      </c>
      <c r="M530" s="48">
        <v>0</v>
      </c>
    </row>
    <row r="531" spans="1:13" x14ac:dyDescent="0.35">
      <c r="A531" t="s">
        <v>209</v>
      </c>
      <c r="B531" t="s">
        <v>13</v>
      </c>
      <c r="C531" t="s">
        <v>154</v>
      </c>
      <c r="D531" t="s">
        <v>146</v>
      </c>
      <c r="E531" t="s">
        <v>217</v>
      </c>
      <c r="F531" t="s">
        <v>16</v>
      </c>
      <c r="G531" t="s">
        <v>215</v>
      </c>
      <c r="H531" s="46">
        <v>3</v>
      </c>
      <c r="I531" s="46">
        <v>0</v>
      </c>
      <c r="J531" s="46">
        <v>2</v>
      </c>
      <c r="K531" s="46">
        <v>26</v>
      </c>
      <c r="L531" s="46">
        <v>24</v>
      </c>
      <c r="M531" s="48">
        <v>0.125</v>
      </c>
    </row>
    <row r="532" spans="1:13" x14ac:dyDescent="0.35">
      <c r="A532" t="s">
        <v>209</v>
      </c>
      <c r="B532" t="s">
        <v>13</v>
      </c>
      <c r="C532" t="s">
        <v>148</v>
      </c>
      <c r="D532" t="s">
        <v>146</v>
      </c>
      <c r="E532" t="s">
        <v>217</v>
      </c>
      <c r="F532" t="s">
        <v>16</v>
      </c>
      <c r="G532" t="s">
        <v>215</v>
      </c>
      <c r="H532" s="46">
        <v>4</v>
      </c>
      <c r="I532" s="46">
        <v>0</v>
      </c>
      <c r="J532" s="46">
        <v>3</v>
      </c>
      <c r="K532" s="46">
        <v>214</v>
      </c>
      <c r="L532" s="46">
        <v>209</v>
      </c>
      <c r="M532" s="48">
        <v>1.9138755980861202E-2</v>
      </c>
    </row>
    <row r="533" spans="1:13" x14ac:dyDescent="0.35">
      <c r="A533" t="s">
        <v>209</v>
      </c>
      <c r="B533" t="s">
        <v>13</v>
      </c>
      <c r="C533" t="s">
        <v>155</v>
      </c>
      <c r="D533" t="s">
        <v>146</v>
      </c>
      <c r="E533" t="s">
        <v>217</v>
      </c>
      <c r="F533" t="s">
        <v>16</v>
      </c>
      <c r="G533" t="s">
        <v>215</v>
      </c>
      <c r="H533" s="46">
        <v>10</v>
      </c>
      <c r="I533" s="46">
        <v>0</v>
      </c>
      <c r="J533" s="46">
        <v>1</v>
      </c>
      <c r="K533" s="46">
        <v>61</v>
      </c>
      <c r="L533" s="46">
        <v>55</v>
      </c>
      <c r="M533" s="48">
        <v>0.18181818181818199</v>
      </c>
    </row>
    <row r="534" spans="1:13" x14ac:dyDescent="0.35">
      <c r="A534" t="s">
        <v>209</v>
      </c>
      <c r="B534" t="s">
        <v>13</v>
      </c>
      <c r="C534" t="s">
        <v>157</v>
      </c>
      <c r="D534" t="s">
        <v>146</v>
      </c>
      <c r="E534" t="s">
        <v>217</v>
      </c>
      <c r="F534" t="s">
        <v>16</v>
      </c>
      <c r="G534" t="s">
        <v>215</v>
      </c>
      <c r="H534" s="46">
        <v>1</v>
      </c>
      <c r="I534" s="46">
        <v>0</v>
      </c>
      <c r="J534" s="46">
        <v>0</v>
      </c>
      <c r="K534" s="46">
        <v>506</v>
      </c>
      <c r="L534" s="46">
        <v>489</v>
      </c>
      <c r="M534" s="48">
        <v>2.0449897750511202E-3</v>
      </c>
    </row>
    <row r="535" spans="1:13" x14ac:dyDescent="0.35">
      <c r="A535" t="s">
        <v>209</v>
      </c>
      <c r="B535" t="s">
        <v>13</v>
      </c>
      <c r="C535" t="s">
        <v>158</v>
      </c>
      <c r="D535" t="s">
        <v>146</v>
      </c>
      <c r="E535" t="s">
        <v>217</v>
      </c>
      <c r="F535" t="s">
        <v>215</v>
      </c>
      <c r="G535" t="s">
        <v>215</v>
      </c>
      <c r="H535" s="46">
        <v>6</v>
      </c>
      <c r="I535" s="46">
        <v>0</v>
      </c>
      <c r="J535" s="46">
        <v>2</v>
      </c>
      <c r="K535" s="46">
        <v>617</v>
      </c>
      <c r="L535" s="46">
        <v>617</v>
      </c>
      <c r="M535" s="48">
        <v>9.7244732576985404E-3</v>
      </c>
    </row>
    <row r="536" spans="1:13" x14ac:dyDescent="0.35">
      <c r="A536" t="s">
        <v>209</v>
      </c>
      <c r="B536" t="s">
        <v>13</v>
      </c>
      <c r="C536" t="s">
        <v>156</v>
      </c>
      <c r="D536" t="s">
        <v>146</v>
      </c>
      <c r="E536" t="s">
        <v>217</v>
      </c>
      <c r="F536" t="s">
        <v>18</v>
      </c>
      <c r="G536" t="s">
        <v>18</v>
      </c>
      <c r="H536" s="46">
        <v>2</v>
      </c>
      <c r="I536" s="46">
        <v>0</v>
      </c>
      <c r="J536" s="46">
        <v>0</v>
      </c>
      <c r="K536" s="46">
        <v>27</v>
      </c>
      <c r="L536" s="46">
        <v>24</v>
      </c>
      <c r="M536" s="48">
        <v>8.3333333333333301E-2</v>
      </c>
    </row>
    <row r="537" spans="1:13" x14ac:dyDescent="0.35">
      <c r="A537" t="s">
        <v>209</v>
      </c>
      <c r="B537" t="s">
        <v>13</v>
      </c>
      <c r="C537" t="s">
        <v>145</v>
      </c>
      <c r="D537" t="s">
        <v>162</v>
      </c>
      <c r="E537" t="s">
        <v>218</v>
      </c>
      <c r="F537" t="s">
        <v>16</v>
      </c>
      <c r="G537" t="s">
        <v>16</v>
      </c>
      <c r="H537" s="46">
        <v>5</v>
      </c>
      <c r="I537" s="46">
        <v>0</v>
      </c>
      <c r="J537" s="46">
        <v>0</v>
      </c>
      <c r="K537" s="46">
        <v>26</v>
      </c>
      <c r="L537" s="46">
        <v>24</v>
      </c>
      <c r="M537" s="48">
        <v>0.20833333333333301</v>
      </c>
    </row>
    <row r="538" spans="1:13" x14ac:dyDescent="0.35">
      <c r="A538" t="s">
        <v>209</v>
      </c>
      <c r="B538" t="s">
        <v>13</v>
      </c>
      <c r="C538" t="s">
        <v>212</v>
      </c>
      <c r="D538" t="s">
        <v>146</v>
      </c>
      <c r="E538" t="s">
        <v>219</v>
      </c>
      <c r="F538" t="s">
        <v>18</v>
      </c>
      <c r="G538" t="s">
        <v>18</v>
      </c>
      <c r="H538" s="46">
        <v>3</v>
      </c>
      <c r="I538" s="46">
        <v>0</v>
      </c>
      <c r="J538" s="46">
        <v>1</v>
      </c>
      <c r="K538" s="46">
        <v>62</v>
      </c>
      <c r="L538" s="46">
        <v>57</v>
      </c>
      <c r="M538" s="48">
        <v>5.2631578947368397E-2</v>
      </c>
    </row>
    <row r="539" spans="1:13" x14ac:dyDescent="0.35">
      <c r="A539" t="s">
        <v>209</v>
      </c>
      <c r="B539" t="s">
        <v>13</v>
      </c>
      <c r="C539" t="s">
        <v>149</v>
      </c>
      <c r="D539" t="s">
        <v>146</v>
      </c>
      <c r="E539" t="s">
        <v>219</v>
      </c>
      <c r="F539" t="s">
        <v>18</v>
      </c>
      <c r="G539" t="s">
        <v>18</v>
      </c>
      <c r="H539" s="46">
        <v>0</v>
      </c>
      <c r="I539" s="46">
        <v>0</v>
      </c>
      <c r="J539" s="46">
        <v>0</v>
      </c>
      <c r="K539" s="46">
        <v>142</v>
      </c>
      <c r="L539" s="46">
        <v>137</v>
      </c>
      <c r="M539" s="48">
        <v>0</v>
      </c>
    </row>
    <row r="540" spans="1:13" x14ac:dyDescent="0.35">
      <c r="A540" t="s">
        <v>209</v>
      </c>
      <c r="B540" t="s">
        <v>13</v>
      </c>
      <c r="C540" t="s">
        <v>150</v>
      </c>
      <c r="D540" t="s">
        <v>146</v>
      </c>
      <c r="E540" t="s">
        <v>219</v>
      </c>
      <c r="F540" t="s">
        <v>18</v>
      </c>
      <c r="G540" t="s">
        <v>18</v>
      </c>
      <c r="H540" s="46">
        <v>1</v>
      </c>
      <c r="I540" s="46">
        <v>0</v>
      </c>
      <c r="J540" s="46">
        <v>0</v>
      </c>
      <c r="K540" s="46">
        <v>71</v>
      </c>
      <c r="L540" s="46">
        <v>71</v>
      </c>
      <c r="M540" s="48">
        <v>1.4084507042253501E-2</v>
      </c>
    </row>
    <row r="541" spans="1:13" x14ac:dyDescent="0.35">
      <c r="A541" t="s">
        <v>209</v>
      </c>
      <c r="B541" t="s">
        <v>13</v>
      </c>
      <c r="C541" t="s">
        <v>151</v>
      </c>
      <c r="D541" t="s">
        <v>146</v>
      </c>
      <c r="E541" t="s">
        <v>219</v>
      </c>
      <c r="F541" t="s">
        <v>18</v>
      </c>
      <c r="G541" t="s">
        <v>18</v>
      </c>
      <c r="H541" s="46">
        <v>1</v>
      </c>
      <c r="I541" s="46">
        <v>0</v>
      </c>
      <c r="J541" s="46">
        <v>0</v>
      </c>
      <c r="K541" s="46">
        <v>36</v>
      </c>
      <c r="L541" s="46">
        <v>33</v>
      </c>
      <c r="M541" s="48">
        <v>3.03030303030303E-2</v>
      </c>
    </row>
    <row r="542" spans="1:13" x14ac:dyDescent="0.35">
      <c r="A542" t="s">
        <v>209</v>
      </c>
      <c r="B542" t="s">
        <v>13</v>
      </c>
      <c r="C542" t="s">
        <v>152</v>
      </c>
      <c r="D542" t="s">
        <v>146</v>
      </c>
      <c r="E542" t="s">
        <v>219</v>
      </c>
      <c r="F542" t="s">
        <v>18</v>
      </c>
      <c r="G542" t="s">
        <v>18</v>
      </c>
      <c r="H542" s="46">
        <v>1</v>
      </c>
      <c r="I542" s="46">
        <v>0</v>
      </c>
      <c r="J542" s="46">
        <v>1</v>
      </c>
      <c r="K542" s="46">
        <v>18</v>
      </c>
      <c r="L542" s="46">
        <v>18</v>
      </c>
      <c r="M542" s="48">
        <v>5.5555555555555601E-2</v>
      </c>
    </row>
    <row r="543" spans="1:13" x14ac:dyDescent="0.35">
      <c r="A543" t="s">
        <v>209</v>
      </c>
      <c r="B543" t="s">
        <v>13</v>
      </c>
      <c r="C543" t="s">
        <v>153</v>
      </c>
      <c r="D543" t="s">
        <v>146</v>
      </c>
      <c r="E543" t="s">
        <v>219</v>
      </c>
      <c r="F543" t="s">
        <v>18</v>
      </c>
      <c r="G543" t="s">
        <v>18</v>
      </c>
      <c r="H543" s="46">
        <v>0</v>
      </c>
      <c r="I543" s="46">
        <v>0</v>
      </c>
      <c r="J543" s="46">
        <v>0</v>
      </c>
      <c r="K543" s="46">
        <v>25</v>
      </c>
      <c r="L543" s="46">
        <v>24</v>
      </c>
      <c r="M543" s="48">
        <v>0</v>
      </c>
    </row>
    <row r="544" spans="1:13" x14ac:dyDescent="0.35">
      <c r="A544" t="s">
        <v>209</v>
      </c>
      <c r="B544" t="s">
        <v>13</v>
      </c>
      <c r="C544" t="s">
        <v>154</v>
      </c>
      <c r="D544" t="s">
        <v>146</v>
      </c>
      <c r="E544" t="s">
        <v>219</v>
      </c>
      <c r="F544" t="s">
        <v>18</v>
      </c>
      <c r="G544" t="s">
        <v>18</v>
      </c>
      <c r="H544" s="46">
        <v>0</v>
      </c>
      <c r="I544" s="46">
        <v>0</v>
      </c>
      <c r="J544" s="46">
        <v>0</v>
      </c>
      <c r="K544" s="46">
        <v>49</v>
      </c>
      <c r="L544" s="46">
        <v>41</v>
      </c>
      <c r="M544" s="48">
        <v>0</v>
      </c>
    </row>
    <row r="545" spans="1:13" x14ac:dyDescent="0.35">
      <c r="A545" t="s">
        <v>209</v>
      </c>
      <c r="B545" t="s">
        <v>13</v>
      </c>
      <c r="C545" t="s">
        <v>148</v>
      </c>
      <c r="D545" t="s">
        <v>146</v>
      </c>
      <c r="E545" t="s">
        <v>219</v>
      </c>
      <c r="F545" t="s">
        <v>18</v>
      </c>
      <c r="G545" t="s">
        <v>18</v>
      </c>
      <c r="H545" s="46">
        <v>5</v>
      </c>
      <c r="I545" s="46">
        <v>0</v>
      </c>
      <c r="J545" s="46">
        <v>3</v>
      </c>
      <c r="K545" s="46">
        <v>224</v>
      </c>
      <c r="L545" s="46">
        <v>216</v>
      </c>
      <c r="M545" s="48">
        <v>2.3148148148148098E-2</v>
      </c>
    </row>
    <row r="546" spans="1:13" x14ac:dyDescent="0.35">
      <c r="A546" t="s">
        <v>209</v>
      </c>
      <c r="B546" t="s">
        <v>13</v>
      </c>
      <c r="C546" t="s">
        <v>155</v>
      </c>
      <c r="D546" t="s">
        <v>146</v>
      </c>
      <c r="E546" t="s">
        <v>219</v>
      </c>
      <c r="F546" t="s">
        <v>18</v>
      </c>
      <c r="G546" t="s">
        <v>18</v>
      </c>
      <c r="H546" s="46">
        <v>4</v>
      </c>
      <c r="I546" s="46">
        <v>0</v>
      </c>
      <c r="J546" s="46">
        <v>0</v>
      </c>
      <c r="K546" s="46">
        <v>66</v>
      </c>
      <c r="L546" s="46">
        <v>60</v>
      </c>
      <c r="M546" s="48">
        <v>6.6666666666666693E-2</v>
      </c>
    </row>
    <row r="547" spans="1:13" x14ac:dyDescent="0.35">
      <c r="A547" t="s">
        <v>209</v>
      </c>
      <c r="B547" t="s">
        <v>13</v>
      </c>
      <c r="C547" t="s">
        <v>157</v>
      </c>
      <c r="D547" t="s">
        <v>146</v>
      </c>
      <c r="E547" t="s">
        <v>219</v>
      </c>
      <c r="F547" t="s">
        <v>18</v>
      </c>
      <c r="G547" t="s">
        <v>18</v>
      </c>
      <c r="H547" s="46">
        <v>2</v>
      </c>
      <c r="I547" s="46">
        <v>0</v>
      </c>
      <c r="J547" s="46">
        <v>0</v>
      </c>
      <c r="K547" s="46">
        <v>522</v>
      </c>
      <c r="L547" s="46">
        <v>517</v>
      </c>
      <c r="M547" s="48">
        <v>3.8684719535783401E-3</v>
      </c>
    </row>
    <row r="548" spans="1:13" x14ac:dyDescent="0.35">
      <c r="A548" t="s">
        <v>209</v>
      </c>
      <c r="B548" t="s">
        <v>13</v>
      </c>
      <c r="C548" t="s">
        <v>158</v>
      </c>
      <c r="D548" t="s">
        <v>146</v>
      </c>
      <c r="E548" t="s">
        <v>219</v>
      </c>
      <c r="F548" t="s">
        <v>18</v>
      </c>
      <c r="G548" t="s">
        <v>18</v>
      </c>
      <c r="H548" s="46">
        <v>2</v>
      </c>
      <c r="I548" s="46">
        <v>0</v>
      </c>
      <c r="J548" s="46">
        <v>1</v>
      </c>
      <c r="K548" s="46">
        <v>438</v>
      </c>
      <c r="L548" s="46">
        <v>426</v>
      </c>
      <c r="M548" s="48">
        <v>4.6948356807511703E-3</v>
      </c>
    </row>
    <row r="549" spans="1:13" x14ac:dyDescent="0.35">
      <c r="A549" t="s">
        <v>209</v>
      </c>
      <c r="B549" t="s">
        <v>13</v>
      </c>
      <c r="C549" t="s">
        <v>154</v>
      </c>
      <c r="D549" t="s">
        <v>146</v>
      </c>
      <c r="E549" t="s">
        <v>219</v>
      </c>
      <c r="F549" t="s">
        <v>18</v>
      </c>
      <c r="G549" t="s">
        <v>18</v>
      </c>
      <c r="H549" s="46">
        <v>196</v>
      </c>
      <c r="I549" s="46">
        <v>0</v>
      </c>
      <c r="J549" s="46">
        <v>0</v>
      </c>
      <c r="K549" s="46">
        <v>2066</v>
      </c>
      <c r="L549" s="46">
        <v>1615</v>
      </c>
      <c r="M549" s="48">
        <v>0.121362229102167</v>
      </c>
    </row>
    <row r="550" spans="1:13" x14ac:dyDescent="0.35">
      <c r="A550" t="s">
        <v>209</v>
      </c>
      <c r="B550" t="s">
        <v>13</v>
      </c>
      <c r="C550" t="s">
        <v>158</v>
      </c>
      <c r="D550" t="s">
        <v>146</v>
      </c>
      <c r="E550" t="s">
        <v>219</v>
      </c>
      <c r="F550" t="s">
        <v>18</v>
      </c>
      <c r="G550" t="s">
        <v>18</v>
      </c>
      <c r="H550" s="46">
        <v>14181</v>
      </c>
      <c r="I550" s="46">
        <v>0</v>
      </c>
      <c r="J550" s="46">
        <v>35</v>
      </c>
      <c r="K550" s="46">
        <v>372438</v>
      </c>
      <c r="L550" s="46">
        <v>78810</v>
      </c>
      <c r="M550" s="48">
        <v>0.179939094023601</v>
      </c>
    </row>
    <row r="551" spans="1:13" x14ac:dyDescent="0.35">
      <c r="A551" t="s">
        <v>209</v>
      </c>
      <c r="B551" t="s">
        <v>13</v>
      </c>
      <c r="C551" t="s">
        <v>154</v>
      </c>
      <c r="D551" t="s">
        <v>146</v>
      </c>
      <c r="E551" t="s">
        <v>220</v>
      </c>
      <c r="F551" t="s">
        <v>215</v>
      </c>
      <c r="G551" t="s">
        <v>215</v>
      </c>
      <c r="H551" s="46">
        <v>1</v>
      </c>
      <c r="I551" s="46">
        <v>0</v>
      </c>
      <c r="J551" s="46">
        <v>0</v>
      </c>
      <c r="K551" s="46">
        <v>73</v>
      </c>
      <c r="L551" s="46">
        <v>48</v>
      </c>
      <c r="M551" s="48">
        <v>2.0833333333333301E-2</v>
      </c>
    </row>
    <row r="552" spans="1:13" x14ac:dyDescent="0.35">
      <c r="A552" t="s">
        <v>209</v>
      </c>
      <c r="B552" t="s">
        <v>13</v>
      </c>
      <c r="C552" t="s">
        <v>149</v>
      </c>
      <c r="D552" t="s">
        <v>146</v>
      </c>
      <c r="E552" t="s">
        <v>220</v>
      </c>
      <c r="F552" t="s">
        <v>215</v>
      </c>
      <c r="G552" t="s">
        <v>215</v>
      </c>
      <c r="H552" s="46">
        <v>0</v>
      </c>
      <c r="I552" s="46">
        <v>0</v>
      </c>
      <c r="J552" s="46">
        <v>0</v>
      </c>
      <c r="K552" s="46">
        <v>135</v>
      </c>
      <c r="L552" s="46">
        <v>130</v>
      </c>
      <c r="M552" s="48">
        <v>0</v>
      </c>
    </row>
    <row r="553" spans="1:13" x14ac:dyDescent="0.35">
      <c r="A553" t="s">
        <v>209</v>
      </c>
      <c r="B553" t="s">
        <v>13</v>
      </c>
      <c r="C553" t="s">
        <v>153</v>
      </c>
      <c r="D553" t="s">
        <v>146</v>
      </c>
      <c r="E553" t="s">
        <v>220</v>
      </c>
      <c r="F553" t="s">
        <v>215</v>
      </c>
      <c r="G553" t="s">
        <v>215</v>
      </c>
      <c r="H553" s="46">
        <v>0</v>
      </c>
      <c r="I553" s="46">
        <v>0</v>
      </c>
      <c r="J553" s="46">
        <v>0</v>
      </c>
      <c r="K553" s="46">
        <v>26</v>
      </c>
      <c r="L553" s="46">
        <v>24</v>
      </c>
      <c r="M553" s="48">
        <v>0</v>
      </c>
    </row>
    <row r="554" spans="1:13" x14ac:dyDescent="0.35">
      <c r="A554" t="s">
        <v>209</v>
      </c>
      <c r="B554" t="s">
        <v>13</v>
      </c>
      <c r="C554" t="s">
        <v>212</v>
      </c>
      <c r="D554" t="s">
        <v>146</v>
      </c>
      <c r="E554" t="s">
        <v>220</v>
      </c>
      <c r="F554" t="s">
        <v>215</v>
      </c>
      <c r="G554" t="s">
        <v>215</v>
      </c>
      <c r="H554" s="46">
        <v>9</v>
      </c>
      <c r="I554" s="46">
        <v>0</v>
      </c>
      <c r="J554" s="46">
        <v>0</v>
      </c>
      <c r="K554" s="46">
        <v>142</v>
      </c>
      <c r="L554" s="46">
        <v>136</v>
      </c>
      <c r="M554" s="48">
        <v>6.6176470588235295E-2</v>
      </c>
    </row>
    <row r="555" spans="1:13" x14ac:dyDescent="0.35">
      <c r="A555" t="s">
        <v>209</v>
      </c>
      <c r="B555" t="s">
        <v>13</v>
      </c>
      <c r="C555" t="s">
        <v>152</v>
      </c>
      <c r="D555" t="s">
        <v>146</v>
      </c>
      <c r="E555" t="s">
        <v>220</v>
      </c>
      <c r="F555" t="s">
        <v>215</v>
      </c>
      <c r="G555" t="s">
        <v>215</v>
      </c>
      <c r="H555" s="46">
        <v>2</v>
      </c>
      <c r="I555" s="46">
        <v>0</v>
      </c>
      <c r="J555" s="46">
        <v>1</v>
      </c>
      <c r="K555" s="46">
        <v>12</v>
      </c>
      <c r="L555" s="46">
        <v>12</v>
      </c>
      <c r="M555" s="48">
        <v>0.16666666666666699</v>
      </c>
    </row>
    <row r="556" spans="1:13" x14ac:dyDescent="0.35">
      <c r="A556" t="s">
        <v>209</v>
      </c>
      <c r="B556" t="s">
        <v>13</v>
      </c>
      <c r="C556" t="s">
        <v>158</v>
      </c>
      <c r="D556" t="s">
        <v>146</v>
      </c>
      <c r="E556" t="s">
        <v>220</v>
      </c>
      <c r="F556" t="s">
        <v>215</v>
      </c>
      <c r="G556" t="s">
        <v>215</v>
      </c>
      <c r="H556" s="46">
        <v>7</v>
      </c>
      <c r="I556" s="46">
        <v>0</v>
      </c>
      <c r="J556" s="46">
        <v>1</v>
      </c>
      <c r="K556" s="46">
        <v>573</v>
      </c>
      <c r="L556" s="46">
        <v>567</v>
      </c>
      <c r="M556" s="48">
        <v>1.2345679012345699E-2</v>
      </c>
    </row>
    <row r="557" spans="1:13" x14ac:dyDescent="0.35">
      <c r="A557" t="s">
        <v>209</v>
      </c>
      <c r="B557" t="s">
        <v>13</v>
      </c>
      <c r="C557" t="s">
        <v>151</v>
      </c>
      <c r="D557" t="s">
        <v>146</v>
      </c>
      <c r="E557" t="s">
        <v>220</v>
      </c>
      <c r="F557" t="s">
        <v>215</v>
      </c>
      <c r="G557" t="s">
        <v>215</v>
      </c>
      <c r="H557" s="46">
        <v>1</v>
      </c>
      <c r="I557" s="46">
        <v>0</v>
      </c>
      <c r="J557" s="46">
        <v>0</v>
      </c>
      <c r="K557" s="46">
        <v>38</v>
      </c>
      <c r="L557" s="46">
        <v>33</v>
      </c>
      <c r="M557" s="48">
        <v>3.03030303030303E-2</v>
      </c>
    </row>
    <row r="558" spans="1:13" x14ac:dyDescent="0.35">
      <c r="A558" t="s">
        <v>209</v>
      </c>
      <c r="B558" t="s">
        <v>13</v>
      </c>
      <c r="C558" t="s">
        <v>150</v>
      </c>
      <c r="D558" t="s">
        <v>146</v>
      </c>
      <c r="E558" t="s">
        <v>220</v>
      </c>
      <c r="F558" t="s">
        <v>215</v>
      </c>
      <c r="G558" t="s">
        <v>215</v>
      </c>
      <c r="H558" s="46">
        <v>0</v>
      </c>
      <c r="I558" s="46">
        <v>0</v>
      </c>
      <c r="J558" s="46">
        <v>0</v>
      </c>
      <c r="K558" s="46">
        <v>59</v>
      </c>
      <c r="L558" s="46">
        <v>59</v>
      </c>
      <c r="M558" s="48">
        <v>0</v>
      </c>
    </row>
    <row r="559" spans="1:13" x14ac:dyDescent="0.35">
      <c r="A559" t="s">
        <v>209</v>
      </c>
      <c r="B559" t="s">
        <v>13</v>
      </c>
      <c r="C559" t="s">
        <v>148</v>
      </c>
      <c r="D559" t="s">
        <v>146</v>
      </c>
      <c r="E559" t="s">
        <v>220</v>
      </c>
      <c r="F559" t="s">
        <v>215</v>
      </c>
      <c r="G559" t="s">
        <v>215</v>
      </c>
      <c r="H559" s="46">
        <v>4</v>
      </c>
      <c r="I559" s="46">
        <v>0</v>
      </c>
      <c r="J559" s="46">
        <v>1</v>
      </c>
      <c r="K559" s="46">
        <v>230</v>
      </c>
      <c r="L559" s="46">
        <v>220</v>
      </c>
      <c r="M559" s="48">
        <v>1.8181818181818198E-2</v>
      </c>
    </row>
    <row r="560" spans="1:13" x14ac:dyDescent="0.35">
      <c r="A560" t="s">
        <v>209</v>
      </c>
      <c r="B560" t="s">
        <v>13</v>
      </c>
      <c r="C560" t="s">
        <v>155</v>
      </c>
      <c r="D560" t="s">
        <v>146</v>
      </c>
      <c r="E560" t="s">
        <v>220</v>
      </c>
      <c r="F560" t="s">
        <v>215</v>
      </c>
      <c r="G560" t="s">
        <v>215</v>
      </c>
      <c r="H560" s="46">
        <v>3</v>
      </c>
      <c r="I560" s="46">
        <v>0</v>
      </c>
      <c r="J560" s="46">
        <v>0</v>
      </c>
      <c r="K560" s="46">
        <v>76</v>
      </c>
      <c r="L560" s="46">
        <v>69</v>
      </c>
      <c r="M560" s="48">
        <v>4.3478260869565202E-2</v>
      </c>
    </row>
    <row r="561" spans="1:13" x14ac:dyDescent="0.35">
      <c r="A561" t="s">
        <v>209</v>
      </c>
      <c r="B561" t="s">
        <v>13</v>
      </c>
      <c r="C561" t="s">
        <v>157</v>
      </c>
      <c r="D561" t="s">
        <v>146</v>
      </c>
      <c r="E561" t="s">
        <v>220</v>
      </c>
      <c r="F561" t="s">
        <v>215</v>
      </c>
      <c r="G561" t="s">
        <v>215</v>
      </c>
      <c r="H561" s="46">
        <v>1</v>
      </c>
      <c r="I561" s="46">
        <v>0</v>
      </c>
      <c r="J561" s="46">
        <v>0</v>
      </c>
      <c r="K561" s="46">
        <v>511</v>
      </c>
      <c r="L561" s="46">
        <v>503</v>
      </c>
      <c r="M561" s="48">
        <v>1.9880715705765401E-3</v>
      </c>
    </row>
    <row r="562" spans="1:13" x14ac:dyDescent="0.35">
      <c r="A562" t="s">
        <v>209</v>
      </c>
      <c r="B562" t="s">
        <v>13</v>
      </c>
      <c r="C562" t="s">
        <v>156</v>
      </c>
      <c r="D562" t="s">
        <v>146</v>
      </c>
      <c r="E562" t="s">
        <v>220</v>
      </c>
      <c r="F562" t="s">
        <v>215</v>
      </c>
      <c r="G562" t="s">
        <v>215</v>
      </c>
      <c r="H562" s="46">
        <v>5</v>
      </c>
      <c r="I562" s="46">
        <v>0</v>
      </c>
      <c r="J562" s="46">
        <v>3</v>
      </c>
      <c r="K562" s="46">
        <v>47</v>
      </c>
      <c r="L562" s="46">
        <v>43</v>
      </c>
      <c r="M562" s="48">
        <v>0.116279069767442</v>
      </c>
    </row>
    <row r="563" spans="1:13" x14ac:dyDescent="0.35">
      <c r="A563" t="s">
        <v>209</v>
      </c>
      <c r="B563" t="s">
        <v>13</v>
      </c>
      <c r="C563" t="s">
        <v>149</v>
      </c>
      <c r="D563" t="s">
        <v>146</v>
      </c>
      <c r="E563" t="s">
        <v>221</v>
      </c>
      <c r="F563" t="s">
        <v>215</v>
      </c>
      <c r="G563" t="s">
        <v>215</v>
      </c>
      <c r="H563" s="46">
        <v>1</v>
      </c>
      <c r="I563" s="46">
        <v>0</v>
      </c>
      <c r="J563" s="46">
        <v>0</v>
      </c>
      <c r="K563" s="46">
        <v>135</v>
      </c>
      <c r="L563" s="46">
        <v>132</v>
      </c>
      <c r="M563" s="48">
        <v>7.5757575757575803E-3</v>
      </c>
    </row>
    <row r="564" spans="1:13" x14ac:dyDescent="0.35">
      <c r="A564" t="s">
        <v>209</v>
      </c>
      <c r="B564" t="s">
        <v>13</v>
      </c>
      <c r="C564" t="s">
        <v>212</v>
      </c>
      <c r="D564" t="s">
        <v>146</v>
      </c>
      <c r="E564" t="s">
        <v>221</v>
      </c>
      <c r="F564" t="s">
        <v>215</v>
      </c>
      <c r="G564" t="s">
        <v>215</v>
      </c>
      <c r="H564" s="46">
        <v>3</v>
      </c>
      <c r="I564" s="46">
        <v>0</v>
      </c>
      <c r="J564" s="46">
        <v>0</v>
      </c>
      <c r="K564" s="46">
        <v>51</v>
      </c>
      <c r="L564" s="46">
        <v>46</v>
      </c>
      <c r="M564" s="48">
        <v>6.5217391304347797E-2</v>
      </c>
    </row>
    <row r="565" spans="1:13" x14ac:dyDescent="0.35">
      <c r="A565" t="s">
        <v>209</v>
      </c>
      <c r="B565" t="s">
        <v>13</v>
      </c>
      <c r="C565" t="s">
        <v>150</v>
      </c>
      <c r="D565" t="s">
        <v>146</v>
      </c>
      <c r="E565" t="s">
        <v>221</v>
      </c>
      <c r="F565" t="s">
        <v>215</v>
      </c>
      <c r="G565" t="s">
        <v>215</v>
      </c>
      <c r="H565" s="46">
        <v>0</v>
      </c>
      <c r="I565" s="46">
        <v>0</v>
      </c>
      <c r="J565" s="46">
        <v>0</v>
      </c>
      <c r="K565" s="46">
        <v>81</v>
      </c>
      <c r="L565" s="46">
        <v>81</v>
      </c>
      <c r="M565" s="48">
        <v>0</v>
      </c>
    </row>
    <row r="566" spans="1:13" x14ac:dyDescent="0.35">
      <c r="A566" t="s">
        <v>209</v>
      </c>
      <c r="B566" t="s">
        <v>13</v>
      </c>
      <c r="C566" t="s">
        <v>151</v>
      </c>
      <c r="D566" t="s">
        <v>146</v>
      </c>
      <c r="E566" t="s">
        <v>221</v>
      </c>
      <c r="F566" t="s">
        <v>215</v>
      </c>
      <c r="G566" t="s">
        <v>215</v>
      </c>
      <c r="H566" s="46">
        <v>3</v>
      </c>
      <c r="I566" s="46">
        <v>0</v>
      </c>
      <c r="J566" s="46">
        <v>1</v>
      </c>
      <c r="K566" s="46">
        <v>38</v>
      </c>
      <c r="L566" s="46">
        <v>34</v>
      </c>
      <c r="M566" s="48">
        <v>8.8235294117647106E-2</v>
      </c>
    </row>
    <row r="567" spans="1:13" x14ac:dyDescent="0.35">
      <c r="A567" t="s">
        <v>209</v>
      </c>
      <c r="B567" t="s">
        <v>13</v>
      </c>
      <c r="C567" t="s">
        <v>152</v>
      </c>
      <c r="D567" t="s">
        <v>146</v>
      </c>
      <c r="E567" t="s">
        <v>221</v>
      </c>
      <c r="F567" t="s">
        <v>215</v>
      </c>
      <c r="G567" t="s">
        <v>215</v>
      </c>
      <c r="H567" s="46">
        <v>7</v>
      </c>
      <c r="I567" s="46">
        <v>0</v>
      </c>
      <c r="J567" s="46">
        <v>2</v>
      </c>
      <c r="K567" s="46">
        <v>17</v>
      </c>
      <c r="L567" s="46">
        <v>17</v>
      </c>
      <c r="M567" s="48">
        <v>0.41176470588235298</v>
      </c>
    </row>
    <row r="568" spans="1:13" x14ac:dyDescent="0.35">
      <c r="A568" t="s">
        <v>209</v>
      </c>
      <c r="B568" t="s">
        <v>13</v>
      </c>
      <c r="C568" t="s">
        <v>153</v>
      </c>
      <c r="D568" t="s">
        <v>146</v>
      </c>
      <c r="E568" t="s">
        <v>221</v>
      </c>
      <c r="F568" t="s">
        <v>215</v>
      </c>
      <c r="G568" t="s">
        <v>215</v>
      </c>
      <c r="H568" s="46">
        <v>0</v>
      </c>
      <c r="I568" s="46">
        <v>0</v>
      </c>
      <c r="J568" s="46">
        <v>0</v>
      </c>
      <c r="K568" s="46">
        <v>23</v>
      </c>
      <c r="L568" s="46">
        <v>22</v>
      </c>
      <c r="M568" s="48">
        <v>0</v>
      </c>
    </row>
    <row r="569" spans="1:13" x14ac:dyDescent="0.35">
      <c r="A569" t="s">
        <v>209</v>
      </c>
      <c r="B569" t="s">
        <v>13</v>
      </c>
      <c r="C569" t="s">
        <v>154</v>
      </c>
      <c r="D569" t="s">
        <v>146</v>
      </c>
      <c r="E569" t="s">
        <v>221</v>
      </c>
      <c r="F569" t="s">
        <v>215</v>
      </c>
      <c r="G569" t="s">
        <v>215</v>
      </c>
      <c r="H569" s="46">
        <v>13</v>
      </c>
      <c r="I569" s="46">
        <v>1</v>
      </c>
      <c r="J569" s="46">
        <v>0</v>
      </c>
      <c r="K569" s="46">
        <v>90</v>
      </c>
      <c r="L569" s="46">
        <v>60</v>
      </c>
      <c r="M569" s="48">
        <v>0.21666666666666701</v>
      </c>
    </row>
    <row r="570" spans="1:13" x14ac:dyDescent="0.35">
      <c r="A570" t="s">
        <v>209</v>
      </c>
      <c r="B570" t="s">
        <v>13</v>
      </c>
      <c r="C570" t="s">
        <v>148</v>
      </c>
      <c r="D570" t="s">
        <v>146</v>
      </c>
      <c r="E570" t="s">
        <v>221</v>
      </c>
      <c r="F570" t="s">
        <v>215</v>
      </c>
      <c r="G570" t="s">
        <v>215</v>
      </c>
      <c r="H570" s="46">
        <v>10</v>
      </c>
      <c r="I570" s="46">
        <v>0</v>
      </c>
      <c r="J570" s="46">
        <v>3</v>
      </c>
      <c r="K570" s="46">
        <v>252</v>
      </c>
      <c r="L570" s="46">
        <v>248</v>
      </c>
      <c r="M570" s="48">
        <v>4.0322580645161303E-2</v>
      </c>
    </row>
    <row r="571" spans="1:13" x14ac:dyDescent="0.35">
      <c r="A571" t="s">
        <v>209</v>
      </c>
      <c r="B571" t="s">
        <v>13</v>
      </c>
      <c r="C571" t="s">
        <v>155</v>
      </c>
      <c r="D571" t="s">
        <v>146</v>
      </c>
      <c r="E571" t="s">
        <v>221</v>
      </c>
      <c r="F571" t="s">
        <v>215</v>
      </c>
      <c r="G571" t="s">
        <v>215</v>
      </c>
      <c r="H571" s="46">
        <v>15</v>
      </c>
      <c r="I571" s="46">
        <v>0</v>
      </c>
      <c r="J571" s="46">
        <v>2</v>
      </c>
      <c r="K571" s="46">
        <v>62</v>
      </c>
      <c r="L571" s="46">
        <v>56</v>
      </c>
      <c r="M571" s="48">
        <v>0.26785714285714302</v>
      </c>
    </row>
    <row r="572" spans="1:13" x14ac:dyDescent="0.35">
      <c r="A572" t="s">
        <v>209</v>
      </c>
      <c r="B572" t="s">
        <v>13</v>
      </c>
      <c r="C572" t="s">
        <v>156</v>
      </c>
      <c r="D572" t="s">
        <v>146</v>
      </c>
      <c r="E572" t="s">
        <v>221</v>
      </c>
      <c r="F572" t="s">
        <v>215</v>
      </c>
      <c r="G572" t="s">
        <v>215</v>
      </c>
      <c r="H572" s="46">
        <v>6</v>
      </c>
      <c r="I572" s="46">
        <v>0</v>
      </c>
      <c r="J572" s="46">
        <v>1</v>
      </c>
      <c r="K572" s="46">
        <v>41</v>
      </c>
      <c r="L572" s="46">
        <v>36</v>
      </c>
      <c r="M572" s="48">
        <v>0.16666666666666699</v>
      </c>
    </row>
    <row r="573" spans="1:13" x14ac:dyDescent="0.35">
      <c r="A573" t="s">
        <v>209</v>
      </c>
      <c r="B573" t="s">
        <v>13</v>
      </c>
      <c r="C573" t="s">
        <v>157</v>
      </c>
      <c r="D573" t="s">
        <v>146</v>
      </c>
      <c r="E573" t="s">
        <v>221</v>
      </c>
      <c r="F573" t="s">
        <v>215</v>
      </c>
      <c r="G573" t="s">
        <v>215</v>
      </c>
      <c r="H573" s="46">
        <v>2</v>
      </c>
      <c r="I573" s="46">
        <v>0</v>
      </c>
      <c r="J573" s="46">
        <v>0</v>
      </c>
      <c r="K573" s="46">
        <v>565</v>
      </c>
      <c r="L573" s="46">
        <v>560</v>
      </c>
      <c r="M573" s="48">
        <v>3.57142857142857E-3</v>
      </c>
    </row>
    <row r="574" spans="1:13" x14ac:dyDescent="0.35">
      <c r="A574" t="s">
        <v>209</v>
      </c>
      <c r="B574" t="s">
        <v>13</v>
      </c>
      <c r="C574" t="s">
        <v>158</v>
      </c>
      <c r="D574" t="s">
        <v>146</v>
      </c>
      <c r="E574" t="s">
        <v>221</v>
      </c>
      <c r="F574" t="s">
        <v>215</v>
      </c>
      <c r="G574" t="s">
        <v>215</v>
      </c>
      <c r="H574" s="46">
        <v>4</v>
      </c>
      <c r="I574" s="46">
        <v>0</v>
      </c>
      <c r="J574" s="46">
        <v>2</v>
      </c>
      <c r="K574" s="46">
        <v>531</v>
      </c>
      <c r="L574" s="46">
        <v>530</v>
      </c>
      <c r="M574" s="48">
        <v>7.5471698113207496E-3</v>
      </c>
    </row>
    <row r="575" spans="1:13" x14ac:dyDescent="0.35">
      <c r="A575" t="s">
        <v>209</v>
      </c>
      <c r="B575" t="s">
        <v>13</v>
      </c>
      <c r="C575" t="s">
        <v>212</v>
      </c>
      <c r="D575" t="s">
        <v>146</v>
      </c>
      <c r="E575" t="s">
        <v>222</v>
      </c>
      <c r="F575" t="s">
        <v>21</v>
      </c>
      <c r="G575" t="s">
        <v>21</v>
      </c>
      <c r="H575" s="46">
        <v>51184</v>
      </c>
      <c r="I575" s="46">
        <v>1</v>
      </c>
      <c r="J575" s="46">
        <v>154</v>
      </c>
      <c r="K575" s="46">
        <v>1285017</v>
      </c>
      <c r="L575" s="46">
        <v>282279</v>
      </c>
      <c r="M575" s="48">
        <v>0.181324150928691</v>
      </c>
    </row>
    <row r="576" spans="1:13" x14ac:dyDescent="0.35">
      <c r="A576" t="s">
        <v>209</v>
      </c>
      <c r="B576" t="s">
        <v>13</v>
      </c>
      <c r="C576" t="s">
        <v>212</v>
      </c>
      <c r="D576" t="s">
        <v>146</v>
      </c>
      <c r="E576" t="s">
        <v>222</v>
      </c>
      <c r="F576" t="s">
        <v>21</v>
      </c>
      <c r="G576" t="s">
        <v>21</v>
      </c>
      <c r="H576" s="46">
        <v>9558</v>
      </c>
      <c r="I576" s="46">
        <v>0</v>
      </c>
      <c r="J576" s="46">
        <v>4</v>
      </c>
      <c r="K576" s="46">
        <v>198924</v>
      </c>
      <c r="L576" s="46">
        <v>70864</v>
      </c>
      <c r="M576" s="48">
        <v>0.13487807631519499</v>
      </c>
    </row>
    <row r="577" spans="1:13" x14ac:dyDescent="0.35">
      <c r="A577" t="s">
        <v>209</v>
      </c>
      <c r="B577" t="s">
        <v>13</v>
      </c>
      <c r="C577" t="s">
        <v>149</v>
      </c>
      <c r="D577" t="s">
        <v>146</v>
      </c>
      <c r="E577" t="s">
        <v>223</v>
      </c>
      <c r="F577" t="s">
        <v>21</v>
      </c>
      <c r="G577" t="s">
        <v>21</v>
      </c>
      <c r="H577" s="46">
        <v>26004</v>
      </c>
      <c r="I577" s="46">
        <v>0</v>
      </c>
      <c r="J577" s="46">
        <v>22</v>
      </c>
      <c r="K577" s="46">
        <v>569455</v>
      </c>
      <c r="L577" s="46">
        <v>162601</v>
      </c>
      <c r="M577" s="48">
        <v>0.15992521571207999</v>
      </c>
    </row>
    <row r="578" spans="1:13" x14ac:dyDescent="0.35">
      <c r="A578" t="s">
        <v>209</v>
      </c>
      <c r="B578" t="s">
        <v>13</v>
      </c>
      <c r="C578" t="s">
        <v>150</v>
      </c>
      <c r="D578" t="s">
        <v>146</v>
      </c>
      <c r="E578" t="s">
        <v>223</v>
      </c>
      <c r="F578" t="s">
        <v>21</v>
      </c>
      <c r="G578" t="s">
        <v>21</v>
      </c>
      <c r="H578" s="46">
        <v>10074</v>
      </c>
      <c r="I578" s="46">
        <v>0</v>
      </c>
      <c r="J578" s="46">
        <v>24</v>
      </c>
      <c r="K578" s="46">
        <v>299196</v>
      </c>
      <c r="L578" s="46">
        <v>104904</v>
      </c>
      <c r="M578" s="48">
        <v>9.6030656600320299E-2</v>
      </c>
    </row>
    <row r="579" spans="1:13" x14ac:dyDescent="0.35">
      <c r="A579" t="s">
        <v>209</v>
      </c>
      <c r="B579" t="s">
        <v>13</v>
      </c>
      <c r="C579" t="s">
        <v>155</v>
      </c>
      <c r="D579" t="s">
        <v>146</v>
      </c>
      <c r="E579" t="s">
        <v>223</v>
      </c>
      <c r="F579" t="s">
        <v>21</v>
      </c>
      <c r="G579" t="s">
        <v>21</v>
      </c>
      <c r="H579" s="46">
        <v>14793</v>
      </c>
      <c r="I579" s="46">
        <v>0</v>
      </c>
      <c r="J579" s="46">
        <v>72</v>
      </c>
      <c r="K579" s="46">
        <v>392607</v>
      </c>
      <c r="L579" s="46">
        <v>85063</v>
      </c>
      <c r="M579" s="48">
        <v>0.17390639878678199</v>
      </c>
    </row>
    <row r="580" spans="1:13" x14ac:dyDescent="0.35">
      <c r="A580" t="s">
        <v>209</v>
      </c>
      <c r="B580" t="s">
        <v>13</v>
      </c>
      <c r="C580" t="s">
        <v>157</v>
      </c>
      <c r="D580" t="s">
        <v>146</v>
      </c>
      <c r="E580" t="s">
        <v>223</v>
      </c>
      <c r="F580" t="s">
        <v>21</v>
      </c>
      <c r="G580" t="s">
        <v>21</v>
      </c>
      <c r="H580" s="46">
        <v>13663</v>
      </c>
      <c r="I580" s="46">
        <v>0</v>
      </c>
      <c r="J580" s="46">
        <v>3</v>
      </c>
      <c r="K580" s="46">
        <v>344840</v>
      </c>
      <c r="L580" s="46">
        <v>81909</v>
      </c>
      <c r="M580" s="48">
        <v>0.16680706637854201</v>
      </c>
    </row>
    <row r="581" spans="1:13" x14ac:dyDescent="0.35">
      <c r="A581" t="s">
        <v>209</v>
      </c>
      <c r="B581" t="s">
        <v>13</v>
      </c>
      <c r="C581" t="s">
        <v>154</v>
      </c>
      <c r="D581" t="s">
        <v>188</v>
      </c>
      <c r="E581" t="s">
        <v>224</v>
      </c>
      <c r="F581" t="s">
        <v>21</v>
      </c>
      <c r="G581" t="s">
        <v>21</v>
      </c>
      <c r="H581" s="46">
        <v>2003</v>
      </c>
      <c r="I581" s="46">
        <v>1</v>
      </c>
      <c r="J581" s="46">
        <v>5</v>
      </c>
      <c r="K581" s="46">
        <v>192792</v>
      </c>
      <c r="L581" s="46">
        <v>128893</v>
      </c>
      <c r="M581" s="48">
        <v>1.55400215682776E-2</v>
      </c>
    </row>
    <row r="582" spans="1:13" x14ac:dyDescent="0.35">
      <c r="A582" t="s">
        <v>209</v>
      </c>
      <c r="B582" t="s">
        <v>36</v>
      </c>
      <c r="C582" t="s">
        <v>150</v>
      </c>
      <c r="D582" t="s">
        <v>146</v>
      </c>
      <c r="E582" t="s">
        <v>210</v>
      </c>
      <c r="F582" t="s">
        <v>199</v>
      </c>
      <c r="G582" t="s">
        <v>199</v>
      </c>
      <c r="H582" s="46">
        <v>1</v>
      </c>
      <c r="I582" s="46">
        <v>1</v>
      </c>
      <c r="J582" s="46">
        <v>0</v>
      </c>
      <c r="K582" s="46">
        <v>0</v>
      </c>
      <c r="L582" s="46">
        <v>5</v>
      </c>
      <c r="M582" s="48">
        <v>0.2</v>
      </c>
    </row>
    <row r="583" spans="1:13" x14ac:dyDescent="0.35">
      <c r="A583" t="s">
        <v>209</v>
      </c>
      <c r="B583" t="s">
        <v>36</v>
      </c>
      <c r="C583" t="s">
        <v>151</v>
      </c>
      <c r="D583" t="s">
        <v>146</v>
      </c>
      <c r="E583" t="s">
        <v>210</v>
      </c>
      <c r="F583" t="s">
        <v>199</v>
      </c>
      <c r="G583" t="s">
        <v>199</v>
      </c>
      <c r="H583" s="46">
        <v>0</v>
      </c>
      <c r="I583" s="46">
        <v>0</v>
      </c>
      <c r="J583" s="46">
        <v>0</v>
      </c>
      <c r="K583" s="46">
        <v>0</v>
      </c>
      <c r="L583" s="46">
        <v>10</v>
      </c>
      <c r="M583" s="48">
        <v>0</v>
      </c>
    </row>
    <row r="584" spans="1:13" x14ac:dyDescent="0.35">
      <c r="A584" t="s">
        <v>209</v>
      </c>
      <c r="B584" t="s">
        <v>36</v>
      </c>
      <c r="C584" t="s">
        <v>152</v>
      </c>
      <c r="D584" t="s">
        <v>146</v>
      </c>
      <c r="E584" t="s">
        <v>210</v>
      </c>
      <c r="F584" t="s">
        <v>199</v>
      </c>
      <c r="G584" t="s">
        <v>199</v>
      </c>
      <c r="H584" s="46">
        <v>9</v>
      </c>
      <c r="I584" s="46">
        <v>9</v>
      </c>
      <c r="J584" s="46">
        <v>0</v>
      </c>
      <c r="K584" s="46">
        <v>0</v>
      </c>
      <c r="L584" s="46">
        <v>133</v>
      </c>
      <c r="M584" s="48">
        <v>6.7669172932330796E-2</v>
      </c>
    </row>
    <row r="585" spans="1:13" x14ac:dyDescent="0.35">
      <c r="A585" t="s">
        <v>209</v>
      </c>
      <c r="B585" t="s">
        <v>36</v>
      </c>
      <c r="C585" t="s">
        <v>153</v>
      </c>
      <c r="D585" t="s">
        <v>146</v>
      </c>
      <c r="E585" t="s">
        <v>210</v>
      </c>
      <c r="F585" t="s">
        <v>199</v>
      </c>
      <c r="G585" t="s">
        <v>199</v>
      </c>
      <c r="H585" s="46">
        <v>0</v>
      </c>
      <c r="I585" s="46">
        <v>0</v>
      </c>
      <c r="J585" s="46">
        <v>0</v>
      </c>
      <c r="K585" s="46">
        <v>0</v>
      </c>
      <c r="L585" s="46">
        <v>3</v>
      </c>
      <c r="M585" s="48">
        <v>0</v>
      </c>
    </row>
    <row r="586" spans="1:13" x14ac:dyDescent="0.35">
      <c r="A586" t="s">
        <v>209</v>
      </c>
      <c r="B586" t="s">
        <v>36</v>
      </c>
      <c r="C586" t="s">
        <v>154</v>
      </c>
      <c r="D586" t="s">
        <v>146</v>
      </c>
      <c r="E586" t="s">
        <v>210</v>
      </c>
      <c r="F586" t="s">
        <v>199</v>
      </c>
      <c r="G586" t="s">
        <v>199</v>
      </c>
      <c r="H586" s="46">
        <v>0</v>
      </c>
      <c r="I586" s="46">
        <v>0</v>
      </c>
      <c r="J586" s="46">
        <v>0</v>
      </c>
      <c r="K586" s="46">
        <v>0</v>
      </c>
      <c r="L586" s="46">
        <v>12</v>
      </c>
      <c r="M586" s="48">
        <v>0</v>
      </c>
    </row>
    <row r="587" spans="1:13" x14ac:dyDescent="0.35">
      <c r="A587" t="s">
        <v>209</v>
      </c>
      <c r="B587" t="s">
        <v>36</v>
      </c>
      <c r="C587" t="s">
        <v>148</v>
      </c>
      <c r="D587" t="s">
        <v>146</v>
      </c>
      <c r="E587" t="s">
        <v>210</v>
      </c>
      <c r="F587" t="s">
        <v>199</v>
      </c>
      <c r="G587" t="s">
        <v>199</v>
      </c>
      <c r="H587" s="46">
        <v>23</v>
      </c>
      <c r="I587" s="46">
        <v>23</v>
      </c>
      <c r="J587" s="46">
        <v>0</v>
      </c>
      <c r="K587" s="46">
        <v>0</v>
      </c>
      <c r="L587" s="46">
        <v>259</v>
      </c>
      <c r="M587" s="48">
        <v>8.8803088803088806E-2</v>
      </c>
    </row>
    <row r="588" spans="1:13" x14ac:dyDescent="0.35">
      <c r="A588" t="s">
        <v>209</v>
      </c>
      <c r="B588" t="s">
        <v>36</v>
      </c>
      <c r="C588" t="s">
        <v>155</v>
      </c>
      <c r="D588" t="s">
        <v>146</v>
      </c>
      <c r="E588" t="s">
        <v>210</v>
      </c>
      <c r="F588" t="s">
        <v>199</v>
      </c>
      <c r="G588" t="s">
        <v>199</v>
      </c>
      <c r="H588" s="46">
        <v>1</v>
      </c>
      <c r="I588" s="46">
        <v>1</v>
      </c>
      <c r="J588" s="46">
        <v>0</v>
      </c>
      <c r="K588" s="46">
        <v>0</v>
      </c>
      <c r="L588" s="46">
        <v>7</v>
      </c>
      <c r="M588" s="48">
        <v>0.14285714285714299</v>
      </c>
    </row>
    <row r="589" spans="1:13" x14ac:dyDescent="0.35">
      <c r="A589" t="s">
        <v>209</v>
      </c>
      <c r="B589" t="s">
        <v>36</v>
      </c>
      <c r="C589" t="s">
        <v>156</v>
      </c>
      <c r="D589" t="s">
        <v>146</v>
      </c>
      <c r="E589" t="s">
        <v>210</v>
      </c>
      <c r="F589" t="s">
        <v>199</v>
      </c>
      <c r="G589" t="s">
        <v>199</v>
      </c>
      <c r="H589" s="46">
        <v>1</v>
      </c>
      <c r="I589" s="46">
        <v>1</v>
      </c>
      <c r="J589" s="46">
        <v>0</v>
      </c>
      <c r="K589" s="46">
        <v>0</v>
      </c>
      <c r="L589" s="46">
        <v>9</v>
      </c>
      <c r="M589" s="48">
        <v>0.11111111111111099</v>
      </c>
    </row>
    <row r="590" spans="1:13" x14ac:dyDescent="0.35">
      <c r="A590" t="s">
        <v>209</v>
      </c>
      <c r="B590" t="s">
        <v>36</v>
      </c>
      <c r="C590" t="s">
        <v>157</v>
      </c>
      <c r="D590" t="s">
        <v>146</v>
      </c>
      <c r="E590" t="s">
        <v>210</v>
      </c>
      <c r="F590" t="s">
        <v>199</v>
      </c>
      <c r="G590" t="s">
        <v>199</v>
      </c>
      <c r="H590" s="46">
        <v>0</v>
      </c>
      <c r="I590" s="46">
        <v>0</v>
      </c>
      <c r="J590" s="46">
        <v>0</v>
      </c>
      <c r="K590" s="46">
        <v>0</v>
      </c>
      <c r="L590" s="46">
        <v>4</v>
      </c>
      <c r="M590" s="48">
        <v>0</v>
      </c>
    </row>
    <row r="591" spans="1:13" x14ac:dyDescent="0.35">
      <c r="A591" t="s">
        <v>209</v>
      </c>
      <c r="B591" t="s">
        <v>36</v>
      </c>
      <c r="C591" t="s">
        <v>158</v>
      </c>
      <c r="D591" t="s">
        <v>146</v>
      </c>
      <c r="E591" t="s">
        <v>210</v>
      </c>
      <c r="F591" t="s">
        <v>199</v>
      </c>
      <c r="G591" t="s">
        <v>199</v>
      </c>
      <c r="H591" s="46">
        <v>3</v>
      </c>
      <c r="I591" s="46">
        <v>3</v>
      </c>
      <c r="J591" s="46">
        <v>0</v>
      </c>
      <c r="K591" s="46">
        <v>0</v>
      </c>
      <c r="L591" s="46">
        <v>50</v>
      </c>
      <c r="M591" s="48">
        <v>0.06</v>
      </c>
    </row>
    <row r="592" spans="1:13" x14ac:dyDescent="0.35">
      <c r="A592" t="s">
        <v>209</v>
      </c>
      <c r="B592" t="s">
        <v>36</v>
      </c>
      <c r="C592" t="s">
        <v>145</v>
      </c>
      <c r="D592" t="s">
        <v>146</v>
      </c>
      <c r="E592" t="s">
        <v>210</v>
      </c>
      <c r="F592" t="s">
        <v>199</v>
      </c>
      <c r="G592" t="s">
        <v>199</v>
      </c>
      <c r="H592" s="46">
        <v>0</v>
      </c>
      <c r="I592" s="46">
        <v>0</v>
      </c>
      <c r="J592" s="46">
        <v>0</v>
      </c>
      <c r="K592" s="46">
        <v>0</v>
      </c>
      <c r="L592" s="46">
        <v>24</v>
      </c>
      <c r="M592" s="48">
        <v>0</v>
      </c>
    </row>
    <row r="593" spans="1:13" x14ac:dyDescent="0.35">
      <c r="A593" t="s">
        <v>209</v>
      </c>
      <c r="B593" t="s">
        <v>36</v>
      </c>
      <c r="C593" t="s">
        <v>156</v>
      </c>
      <c r="D593" t="s">
        <v>146</v>
      </c>
      <c r="E593" t="s">
        <v>213</v>
      </c>
      <c r="F593" t="s">
        <v>199</v>
      </c>
      <c r="G593" t="s">
        <v>199</v>
      </c>
      <c r="H593" s="46">
        <v>2</v>
      </c>
      <c r="I593" s="46">
        <v>2</v>
      </c>
      <c r="J593" s="46">
        <v>0</v>
      </c>
      <c r="K593" s="46">
        <v>0</v>
      </c>
      <c r="L593" s="46">
        <v>10</v>
      </c>
      <c r="M593" s="48">
        <v>0.2</v>
      </c>
    </row>
    <row r="594" spans="1:13" x14ac:dyDescent="0.35">
      <c r="A594" t="s">
        <v>209</v>
      </c>
      <c r="B594" t="s">
        <v>36</v>
      </c>
      <c r="C594" t="s">
        <v>150</v>
      </c>
      <c r="D594" t="s">
        <v>146</v>
      </c>
      <c r="E594" t="s">
        <v>214</v>
      </c>
      <c r="F594" t="s">
        <v>199</v>
      </c>
      <c r="G594" t="s">
        <v>199</v>
      </c>
      <c r="H594" s="46">
        <v>0</v>
      </c>
      <c r="I594" s="46">
        <v>0</v>
      </c>
      <c r="J594" s="46">
        <v>0</v>
      </c>
      <c r="K594" s="46">
        <v>0</v>
      </c>
      <c r="L594" s="46">
        <v>3</v>
      </c>
      <c r="M594" s="48">
        <v>0</v>
      </c>
    </row>
    <row r="595" spans="1:13" x14ac:dyDescent="0.35">
      <c r="A595" t="s">
        <v>209</v>
      </c>
      <c r="B595" t="s">
        <v>36</v>
      </c>
      <c r="C595" t="s">
        <v>151</v>
      </c>
      <c r="D595" t="s">
        <v>146</v>
      </c>
      <c r="E595" t="s">
        <v>214</v>
      </c>
      <c r="F595" t="s">
        <v>199</v>
      </c>
      <c r="G595" t="s">
        <v>199</v>
      </c>
      <c r="H595" s="46">
        <v>0</v>
      </c>
      <c r="I595" s="46">
        <v>0</v>
      </c>
      <c r="J595" s="46">
        <v>0</v>
      </c>
      <c r="K595" s="46">
        <v>0</v>
      </c>
      <c r="L595" s="46">
        <v>11</v>
      </c>
      <c r="M595" s="48">
        <v>0</v>
      </c>
    </row>
    <row r="596" spans="1:13" x14ac:dyDescent="0.35">
      <c r="A596" t="s">
        <v>209</v>
      </c>
      <c r="B596" t="s">
        <v>36</v>
      </c>
      <c r="C596" t="s">
        <v>152</v>
      </c>
      <c r="D596" t="s">
        <v>146</v>
      </c>
      <c r="E596" t="s">
        <v>214</v>
      </c>
      <c r="F596" t="s">
        <v>199</v>
      </c>
      <c r="G596" t="s">
        <v>199</v>
      </c>
      <c r="H596" s="46">
        <v>10</v>
      </c>
      <c r="I596" s="46">
        <v>10</v>
      </c>
      <c r="J596" s="46">
        <v>0</v>
      </c>
      <c r="K596" s="46">
        <v>0</v>
      </c>
      <c r="L596" s="46">
        <v>90</v>
      </c>
      <c r="M596" s="48">
        <v>0.11111111111111099</v>
      </c>
    </row>
    <row r="597" spans="1:13" x14ac:dyDescent="0.35">
      <c r="A597" t="s">
        <v>209</v>
      </c>
      <c r="B597" t="s">
        <v>36</v>
      </c>
      <c r="C597" t="s">
        <v>153</v>
      </c>
      <c r="D597" t="s">
        <v>146</v>
      </c>
      <c r="E597" t="s">
        <v>214</v>
      </c>
      <c r="F597" t="s">
        <v>199</v>
      </c>
      <c r="G597" t="s">
        <v>199</v>
      </c>
      <c r="H597" s="46">
        <v>0</v>
      </c>
      <c r="I597" s="46">
        <v>0</v>
      </c>
      <c r="J597" s="46">
        <v>0</v>
      </c>
      <c r="K597" s="46">
        <v>0</v>
      </c>
      <c r="L597" s="46">
        <v>0</v>
      </c>
      <c r="M597" s="48">
        <v>0</v>
      </c>
    </row>
    <row r="598" spans="1:13" x14ac:dyDescent="0.35">
      <c r="A598" t="s">
        <v>209</v>
      </c>
      <c r="B598" t="s">
        <v>36</v>
      </c>
      <c r="C598" t="s">
        <v>154</v>
      </c>
      <c r="D598" t="s">
        <v>146</v>
      </c>
      <c r="E598" t="s">
        <v>214</v>
      </c>
      <c r="F598" t="s">
        <v>199</v>
      </c>
      <c r="G598" t="s">
        <v>199</v>
      </c>
      <c r="H598" s="46">
        <v>0</v>
      </c>
      <c r="I598" s="46">
        <v>0</v>
      </c>
      <c r="J598" s="46">
        <v>0</v>
      </c>
      <c r="K598" s="46">
        <v>0</v>
      </c>
      <c r="L598" s="46">
        <v>15</v>
      </c>
      <c r="M598" s="48">
        <v>0</v>
      </c>
    </row>
    <row r="599" spans="1:13" x14ac:dyDescent="0.35">
      <c r="A599" t="s">
        <v>209</v>
      </c>
      <c r="B599" t="s">
        <v>36</v>
      </c>
      <c r="C599" t="s">
        <v>148</v>
      </c>
      <c r="D599" t="s">
        <v>146</v>
      </c>
      <c r="E599" t="s">
        <v>214</v>
      </c>
      <c r="F599" t="s">
        <v>199</v>
      </c>
      <c r="G599" t="s">
        <v>199</v>
      </c>
      <c r="H599" s="46">
        <v>3</v>
      </c>
      <c r="I599" s="46">
        <v>3</v>
      </c>
      <c r="J599" s="46">
        <v>0</v>
      </c>
      <c r="K599" s="46">
        <v>0</v>
      </c>
      <c r="L599" s="46">
        <v>85</v>
      </c>
      <c r="M599" s="48">
        <v>3.5294117647058802E-2</v>
      </c>
    </row>
    <row r="600" spans="1:13" x14ac:dyDescent="0.35">
      <c r="A600" t="s">
        <v>209</v>
      </c>
      <c r="B600" t="s">
        <v>36</v>
      </c>
      <c r="C600" t="s">
        <v>155</v>
      </c>
      <c r="D600" t="s">
        <v>146</v>
      </c>
      <c r="E600" t="s">
        <v>214</v>
      </c>
      <c r="F600" t="s">
        <v>199</v>
      </c>
      <c r="G600" t="s">
        <v>199</v>
      </c>
      <c r="H600" s="46">
        <v>1</v>
      </c>
      <c r="I600" s="46">
        <v>1</v>
      </c>
      <c r="J600" s="46">
        <v>0</v>
      </c>
      <c r="K600" s="46">
        <v>0</v>
      </c>
      <c r="L600" s="46">
        <v>1</v>
      </c>
      <c r="M600" s="48">
        <v>1</v>
      </c>
    </row>
    <row r="601" spans="1:13" x14ac:dyDescent="0.35">
      <c r="A601" t="s">
        <v>209</v>
      </c>
      <c r="B601" t="s">
        <v>36</v>
      </c>
      <c r="C601" t="s">
        <v>156</v>
      </c>
      <c r="D601" t="s">
        <v>146</v>
      </c>
      <c r="E601" t="s">
        <v>214</v>
      </c>
      <c r="F601" t="s">
        <v>199</v>
      </c>
      <c r="G601" t="s">
        <v>199</v>
      </c>
      <c r="H601" s="46">
        <v>2</v>
      </c>
      <c r="I601" s="46">
        <v>2</v>
      </c>
      <c r="J601" s="46">
        <v>0</v>
      </c>
      <c r="K601" s="46">
        <v>0</v>
      </c>
      <c r="L601" s="46">
        <v>8</v>
      </c>
      <c r="M601" s="48">
        <v>0.25</v>
      </c>
    </row>
    <row r="602" spans="1:13" x14ac:dyDescent="0.35">
      <c r="A602" t="s">
        <v>209</v>
      </c>
      <c r="B602" t="s">
        <v>36</v>
      </c>
      <c r="C602" t="s">
        <v>157</v>
      </c>
      <c r="D602" t="s">
        <v>146</v>
      </c>
      <c r="E602" t="s">
        <v>214</v>
      </c>
      <c r="F602" t="s">
        <v>199</v>
      </c>
      <c r="G602" t="s">
        <v>199</v>
      </c>
      <c r="H602" s="46">
        <v>0</v>
      </c>
      <c r="I602" s="46">
        <v>0</v>
      </c>
      <c r="J602" s="46">
        <v>0</v>
      </c>
      <c r="K602" s="46">
        <v>0</v>
      </c>
      <c r="L602" s="46">
        <v>3</v>
      </c>
      <c r="M602" s="48">
        <v>0</v>
      </c>
    </row>
    <row r="603" spans="1:13" x14ac:dyDescent="0.35">
      <c r="A603" t="s">
        <v>209</v>
      </c>
      <c r="B603" t="s">
        <v>36</v>
      </c>
      <c r="C603" t="s">
        <v>158</v>
      </c>
      <c r="D603" t="s">
        <v>146</v>
      </c>
      <c r="E603" t="s">
        <v>214</v>
      </c>
      <c r="F603" t="s">
        <v>199</v>
      </c>
      <c r="G603" t="s">
        <v>199</v>
      </c>
      <c r="H603" s="46">
        <v>1</v>
      </c>
      <c r="I603" s="46">
        <v>1</v>
      </c>
      <c r="J603" s="46">
        <v>0</v>
      </c>
      <c r="K603" s="46">
        <v>0</v>
      </c>
      <c r="L603" s="46">
        <v>33</v>
      </c>
      <c r="M603" s="48">
        <v>3.03030303030303E-2</v>
      </c>
    </row>
    <row r="604" spans="1:13" x14ac:dyDescent="0.35">
      <c r="A604" t="s">
        <v>209</v>
      </c>
      <c r="B604" t="s">
        <v>36</v>
      </c>
      <c r="C604" t="s">
        <v>156</v>
      </c>
      <c r="D604" t="s">
        <v>146</v>
      </c>
      <c r="E604" t="s">
        <v>216</v>
      </c>
      <c r="F604" t="s">
        <v>199</v>
      </c>
      <c r="G604" t="s">
        <v>199</v>
      </c>
      <c r="H604" s="46">
        <v>2</v>
      </c>
      <c r="I604" s="46">
        <v>2</v>
      </c>
      <c r="J604" s="46">
        <v>0</v>
      </c>
      <c r="K604" s="46">
        <v>0</v>
      </c>
      <c r="L604" s="46">
        <v>13</v>
      </c>
      <c r="M604" s="48">
        <v>0.15384615384615399</v>
      </c>
    </row>
    <row r="605" spans="1:13" x14ac:dyDescent="0.35">
      <c r="A605" t="s">
        <v>209</v>
      </c>
      <c r="B605" t="s">
        <v>36</v>
      </c>
      <c r="C605" t="s">
        <v>150</v>
      </c>
      <c r="D605" t="s">
        <v>146</v>
      </c>
      <c r="E605" t="s">
        <v>217</v>
      </c>
      <c r="F605" t="s">
        <v>199</v>
      </c>
      <c r="G605" t="s">
        <v>199</v>
      </c>
      <c r="H605" s="46">
        <v>5</v>
      </c>
      <c r="I605" s="46">
        <v>4</v>
      </c>
      <c r="J605" s="46">
        <v>0</v>
      </c>
      <c r="K605" s="46">
        <v>6</v>
      </c>
      <c r="L605" s="46">
        <v>6</v>
      </c>
      <c r="M605" s="48">
        <v>0.83333333333333304</v>
      </c>
    </row>
    <row r="606" spans="1:13" x14ac:dyDescent="0.35">
      <c r="A606" t="s">
        <v>209</v>
      </c>
      <c r="B606" t="s">
        <v>36</v>
      </c>
      <c r="C606" t="s">
        <v>151</v>
      </c>
      <c r="D606" t="s">
        <v>146</v>
      </c>
      <c r="E606" t="s">
        <v>217</v>
      </c>
      <c r="F606" t="s">
        <v>199</v>
      </c>
      <c r="G606" t="s">
        <v>199</v>
      </c>
      <c r="H606" s="46">
        <v>1</v>
      </c>
      <c r="I606" s="46">
        <v>1</v>
      </c>
      <c r="J606" s="46">
        <v>0</v>
      </c>
      <c r="K606" s="46">
        <v>13</v>
      </c>
      <c r="L606" s="46">
        <v>13</v>
      </c>
      <c r="M606" s="48">
        <v>7.69230769230769E-2</v>
      </c>
    </row>
    <row r="607" spans="1:13" x14ac:dyDescent="0.35">
      <c r="A607" t="s">
        <v>209</v>
      </c>
      <c r="B607" t="s">
        <v>36</v>
      </c>
      <c r="C607" t="s">
        <v>152</v>
      </c>
      <c r="D607" t="s">
        <v>146</v>
      </c>
      <c r="E607" t="s">
        <v>217</v>
      </c>
      <c r="F607" t="s">
        <v>199</v>
      </c>
      <c r="G607" t="s">
        <v>199</v>
      </c>
      <c r="H607" s="46">
        <v>10</v>
      </c>
      <c r="I607" s="46">
        <v>10</v>
      </c>
      <c r="J607" s="46">
        <v>0</v>
      </c>
      <c r="K607" s="46">
        <v>130</v>
      </c>
      <c r="L607" s="46">
        <v>118</v>
      </c>
      <c r="M607" s="48">
        <v>8.4745762711864403E-2</v>
      </c>
    </row>
    <row r="608" spans="1:13" x14ac:dyDescent="0.35">
      <c r="A608" t="s">
        <v>209</v>
      </c>
      <c r="B608" t="s">
        <v>36</v>
      </c>
      <c r="C608" t="s">
        <v>153</v>
      </c>
      <c r="D608" t="s">
        <v>146</v>
      </c>
      <c r="E608" t="s">
        <v>217</v>
      </c>
      <c r="F608" t="s">
        <v>199</v>
      </c>
      <c r="G608" t="s">
        <v>199</v>
      </c>
      <c r="H608" s="46">
        <v>1</v>
      </c>
      <c r="I608" s="46">
        <v>1</v>
      </c>
      <c r="J608" s="46">
        <v>0</v>
      </c>
      <c r="K608" s="46">
        <v>5</v>
      </c>
      <c r="L608" s="46">
        <v>5</v>
      </c>
      <c r="M608" s="48">
        <v>0.2</v>
      </c>
    </row>
    <row r="609" spans="1:13" x14ac:dyDescent="0.35">
      <c r="A609" t="s">
        <v>209</v>
      </c>
      <c r="B609" t="s">
        <v>36</v>
      </c>
      <c r="C609" t="s">
        <v>154</v>
      </c>
      <c r="D609" t="s">
        <v>146</v>
      </c>
      <c r="E609" t="s">
        <v>217</v>
      </c>
      <c r="F609" t="s">
        <v>199</v>
      </c>
      <c r="G609" t="s">
        <v>199</v>
      </c>
      <c r="H609" s="46">
        <v>1</v>
      </c>
      <c r="I609" s="46">
        <v>1</v>
      </c>
      <c r="J609" s="46">
        <v>0</v>
      </c>
      <c r="K609" s="46">
        <v>19</v>
      </c>
      <c r="L609" s="46">
        <v>18</v>
      </c>
      <c r="M609" s="48">
        <v>5.5555555555555601E-2</v>
      </c>
    </row>
    <row r="610" spans="1:13" x14ac:dyDescent="0.35">
      <c r="A610" t="s">
        <v>209</v>
      </c>
      <c r="B610" t="s">
        <v>36</v>
      </c>
      <c r="C610" t="s">
        <v>148</v>
      </c>
      <c r="D610" t="s">
        <v>146</v>
      </c>
      <c r="E610" t="s">
        <v>217</v>
      </c>
      <c r="F610" t="s">
        <v>199</v>
      </c>
      <c r="G610" t="s">
        <v>199</v>
      </c>
      <c r="H610" s="46">
        <v>12</v>
      </c>
      <c r="I610" s="46">
        <v>12</v>
      </c>
      <c r="J610" s="46">
        <v>0</v>
      </c>
      <c r="K610" s="46">
        <v>150</v>
      </c>
      <c r="L610" s="46">
        <v>140</v>
      </c>
      <c r="M610" s="48">
        <v>8.5714285714285701E-2</v>
      </c>
    </row>
    <row r="611" spans="1:13" x14ac:dyDescent="0.35">
      <c r="A611" t="s">
        <v>209</v>
      </c>
      <c r="B611" t="s">
        <v>36</v>
      </c>
      <c r="C611" t="s">
        <v>155</v>
      </c>
      <c r="D611" t="s">
        <v>146</v>
      </c>
      <c r="E611" t="s">
        <v>217</v>
      </c>
      <c r="F611" t="s">
        <v>199</v>
      </c>
      <c r="G611" t="s">
        <v>199</v>
      </c>
      <c r="H611" s="46">
        <v>2</v>
      </c>
      <c r="I611" s="46">
        <v>2</v>
      </c>
      <c r="J611" s="46">
        <v>0</v>
      </c>
      <c r="K611" s="46">
        <v>5</v>
      </c>
      <c r="L611" s="46">
        <v>5</v>
      </c>
      <c r="M611" s="48">
        <v>0.4</v>
      </c>
    </row>
    <row r="612" spans="1:13" x14ac:dyDescent="0.35">
      <c r="A612" t="s">
        <v>209</v>
      </c>
      <c r="B612" t="s">
        <v>36</v>
      </c>
      <c r="C612" t="s">
        <v>157</v>
      </c>
      <c r="D612" t="s">
        <v>146</v>
      </c>
      <c r="E612" t="s">
        <v>217</v>
      </c>
      <c r="F612" t="s">
        <v>199</v>
      </c>
      <c r="G612" t="s">
        <v>199</v>
      </c>
      <c r="H612" s="46">
        <v>2</v>
      </c>
      <c r="I612" s="46">
        <v>2</v>
      </c>
      <c r="J612" s="46">
        <v>0</v>
      </c>
      <c r="K612" s="46">
        <v>11</v>
      </c>
      <c r="L612" s="46">
        <v>11</v>
      </c>
      <c r="M612" s="48">
        <v>0.18181818181818199</v>
      </c>
    </row>
    <row r="613" spans="1:13" x14ac:dyDescent="0.35">
      <c r="A613" t="s">
        <v>209</v>
      </c>
      <c r="B613" t="s">
        <v>36</v>
      </c>
      <c r="C613" t="s">
        <v>158</v>
      </c>
      <c r="D613" t="s">
        <v>146</v>
      </c>
      <c r="E613" t="s">
        <v>217</v>
      </c>
      <c r="F613" t="s">
        <v>199</v>
      </c>
      <c r="G613" t="s">
        <v>199</v>
      </c>
      <c r="H613" s="46">
        <v>6</v>
      </c>
      <c r="I613" s="46">
        <v>6</v>
      </c>
      <c r="J613" s="46">
        <v>0</v>
      </c>
      <c r="K613" s="46">
        <v>52</v>
      </c>
      <c r="L613" s="46">
        <v>51</v>
      </c>
      <c r="M613" s="48">
        <v>0.11764705882352899</v>
      </c>
    </row>
    <row r="614" spans="1:13" x14ac:dyDescent="0.35">
      <c r="A614" t="s">
        <v>209</v>
      </c>
      <c r="B614" t="s">
        <v>36</v>
      </c>
      <c r="C614" t="s">
        <v>156</v>
      </c>
      <c r="D614" t="s">
        <v>146</v>
      </c>
      <c r="E614" t="s">
        <v>217</v>
      </c>
      <c r="F614" t="s">
        <v>199</v>
      </c>
      <c r="G614" t="s">
        <v>199</v>
      </c>
      <c r="H614" s="46">
        <v>2</v>
      </c>
      <c r="I614" s="46">
        <v>2</v>
      </c>
      <c r="J614" s="46">
        <v>0</v>
      </c>
      <c r="K614" s="46">
        <v>12</v>
      </c>
      <c r="L614" s="46">
        <v>12</v>
      </c>
      <c r="M614" s="48">
        <v>0.16666666666666699</v>
      </c>
    </row>
    <row r="615" spans="1:13" x14ac:dyDescent="0.35">
      <c r="A615" t="s">
        <v>209</v>
      </c>
      <c r="B615" t="s">
        <v>36</v>
      </c>
      <c r="C615" t="s">
        <v>145</v>
      </c>
      <c r="D615" t="s">
        <v>162</v>
      </c>
      <c r="E615" t="s">
        <v>218</v>
      </c>
      <c r="F615" t="s">
        <v>199</v>
      </c>
      <c r="G615" t="s">
        <v>199</v>
      </c>
      <c r="H615" s="46">
        <v>5</v>
      </c>
      <c r="I615" s="46">
        <v>4</v>
      </c>
      <c r="J615" s="46">
        <v>0</v>
      </c>
      <c r="K615" s="46">
        <v>36</v>
      </c>
      <c r="L615" s="46">
        <v>31</v>
      </c>
      <c r="M615" s="48">
        <v>0.16129032258064499</v>
      </c>
    </row>
    <row r="616" spans="1:13" x14ac:dyDescent="0.35">
      <c r="A616" t="s">
        <v>209</v>
      </c>
      <c r="B616" t="s">
        <v>36</v>
      </c>
      <c r="C616" t="s">
        <v>150</v>
      </c>
      <c r="D616" t="s">
        <v>146</v>
      </c>
      <c r="E616" t="s">
        <v>219</v>
      </c>
      <c r="F616" t="s">
        <v>199</v>
      </c>
      <c r="G616" t="s">
        <v>199</v>
      </c>
      <c r="H616" s="46">
        <v>2</v>
      </c>
      <c r="I616" s="46">
        <v>2</v>
      </c>
      <c r="J616" s="46">
        <v>0</v>
      </c>
      <c r="K616" s="46">
        <v>9</v>
      </c>
      <c r="L616" s="46">
        <v>8</v>
      </c>
      <c r="M616" s="48">
        <v>0.25</v>
      </c>
    </row>
    <row r="617" spans="1:13" x14ac:dyDescent="0.35">
      <c r="A617" t="s">
        <v>209</v>
      </c>
      <c r="B617" t="s">
        <v>36</v>
      </c>
      <c r="C617" t="s">
        <v>151</v>
      </c>
      <c r="D617" t="s">
        <v>146</v>
      </c>
      <c r="E617" t="s">
        <v>219</v>
      </c>
      <c r="F617" t="s">
        <v>199</v>
      </c>
      <c r="G617" t="s">
        <v>199</v>
      </c>
      <c r="H617" s="46">
        <v>0</v>
      </c>
      <c r="I617" s="46">
        <v>0</v>
      </c>
      <c r="J617" s="46">
        <v>0</v>
      </c>
      <c r="K617" s="46">
        <v>19</v>
      </c>
      <c r="L617" s="46">
        <v>17</v>
      </c>
      <c r="M617" s="48">
        <v>0</v>
      </c>
    </row>
    <row r="618" spans="1:13" x14ac:dyDescent="0.35">
      <c r="A618" t="s">
        <v>209</v>
      </c>
      <c r="B618" t="s">
        <v>36</v>
      </c>
      <c r="C618" t="s">
        <v>152</v>
      </c>
      <c r="D618" t="s">
        <v>146</v>
      </c>
      <c r="E618" t="s">
        <v>219</v>
      </c>
      <c r="F618" t="s">
        <v>199</v>
      </c>
      <c r="G618" t="s">
        <v>199</v>
      </c>
      <c r="H618" s="46">
        <v>10</v>
      </c>
      <c r="I618" s="46">
        <v>10</v>
      </c>
      <c r="J618" s="46">
        <v>0</v>
      </c>
      <c r="K618" s="46">
        <v>149</v>
      </c>
      <c r="L618" s="46">
        <v>137</v>
      </c>
      <c r="M618" s="48">
        <v>7.2992700729927001E-2</v>
      </c>
    </row>
    <row r="619" spans="1:13" x14ac:dyDescent="0.35">
      <c r="A619" t="s">
        <v>209</v>
      </c>
      <c r="B619" t="s">
        <v>36</v>
      </c>
      <c r="C619" t="s">
        <v>153</v>
      </c>
      <c r="D619" t="s">
        <v>146</v>
      </c>
      <c r="E619" t="s">
        <v>219</v>
      </c>
      <c r="F619" t="s">
        <v>199</v>
      </c>
      <c r="G619" t="s">
        <v>199</v>
      </c>
      <c r="H619" s="46">
        <v>0</v>
      </c>
      <c r="I619" s="46">
        <v>0</v>
      </c>
      <c r="J619" s="46">
        <v>0</v>
      </c>
      <c r="K619" s="46">
        <v>8</v>
      </c>
      <c r="L619" s="46">
        <v>8</v>
      </c>
      <c r="M619" s="48">
        <v>0</v>
      </c>
    </row>
    <row r="620" spans="1:13" x14ac:dyDescent="0.35">
      <c r="A620" t="s">
        <v>209</v>
      </c>
      <c r="B620" t="s">
        <v>36</v>
      </c>
      <c r="C620" t="s">
        <v>154</v>
      </c>
      <c r="D620" t="s">
        <v>146</v>
      </c>
      <c r="E620" t="s">
        <v>219</v>
      </c>
      <c r="F620" t="s">
        <v>199</v>
      </c>
      <c r="G620" t="s">
        <v>199</v>
      </c>
      <c r="H620" s="46">
        <v>0</v>
      </c>
      <c r="I620" s="46">
        <v>0</v>
      </c>
      <c r="J620" s="46">
        <v>0</v>
      </c>
      <c r="K620" s="46">
        <v>15</v>
      </c>
      <c r="L620" s="46">
        <v>15</v>
      </c>
      <c r="M620" s="48">
        <v>0</v>
      </c>
    </row>
    <row r="621" spans="1:13" x14ac:dyDescent="0.35">
      <c r="A621" t="s">
        <v>209</v>
      </c>
      <c r="B621" t="s">
        <v>36</v>
      </c>
      <c r="C621" t="s">
        <v>148</v>
      </c>
      <c r="D621" t="s">
        <v>146</v>
      </c>
      <c r="E621" t="s">
        <v>219</v>
      </c>
      <c r="F621" t="s">
        <v>199</v>
      </c>
      <c r="G621" t="s">
        <v>199</v>
      </c>
      <c r="H621" s="46">
        <v>14</v>
      </c>
      <c r="I621" s="46">
        <v>14</v>
      </c>
      <c r="J621" s="46">
        <v>0</v>
      </c>
      <c r="K621" s="46">
        <v>174</v>
      </c>
      <c r="L621" s="46">
        <v>153</v>
      </c>
      <c r="M621" s="48">
        <v>9.1503267973856203E-2</v>
      </c>
    </row>
    <row r="622" spans="1:13" x14ac:dyDescent="0.35">
      <c r="A622" t="s">
        <v>209</v>
      </c>
      <c r="B622" t="s">
        <v>36</v>
      </c>
      <c r="C622" t="s">
        <v>155</v>
      </c>
      <c r="D622" t="s">
        <v>146</v>
      </c>
      <c r="E622" t="s">
        <v>219</v>
      </c>
      <c r="F622" t="s">
        <v>199</v>
      </c>
      <c r="G622" t="s">
        <v>199</v>
      </c>
      <c r="H622" s="46">
        <v>1</v>
      </c>
      <c r="I622" s="46">
        <v>1</v>
      </c>
      <c r="J622" s="46">
        <v>0</v>
      </c>
      <c r="K622" s="46">
        <v>6</v>
      </c>
      <c r="L622" s="46">
        <v>6</v>
      </c>
      <c r="M622" s="48">
        <v>0.16666666666666699</v>
      </c>
    </row>
    <row r="623" spans="1:13" x14ac:dyDescent="0.35">
      <c r="A623" t="s">
        <v>209</v>
      </c>
      <c r="B623" t="s">
        <v>36</v>
      </c>
      <c r="C623" t="s">
        <v>157</v>
      </c>
      <c r="D623" t="s">
        <v>146</v>
      </c>
      <c r="E623" t="s">
        <v>219</v>
      </c>
      <c r="F623" t="s">
        <v>199</v>
      </c>
      <c r="G623" t="s">
        <v>199</v>
      </c>
      <c r="H623" s="46">
        <v>0</v>
      </c>
      <c r="I623" s="46">
        <v>0</v>
      </c>
      <c r="J623" s="46">
        <v>0</v>
      </c>
      <c r="K623" s="46">
        <v>11</v>
      </c>
      <c r="L623" s="46">
        <v>10</v>
      </c>
      <c r="M623" s="48">
        <v>0</v>
      </c>
    </row>
    <row r="624" spans="1:13" x14ac:dyDescent="0.35">
      <c r="A624" t="s">
        <v>209</v>
      </c>
      <c r="B624" t="s">
        <v>36</v>
      </c>
      <c r="C624" t="s">
        <v>158</v>
      </c>
      <c r="D624" t="s">
        <v>146</v>
      </c>
      <c r="E624" t="s">
        <v>219</v>
      </c>
      <c r="F624" t="s">
        <v>199</v>
      </c>
      <c r="G624" t="s">
        <v>199</v>
      </c>
      <c r="H624" s="46">
        <v>3</v>
      </c>
      <c r="I624" s="46">
        <v>3</v>
      </c>
      <c r="J624" s="46">
        <v>0</v>
      </c>
      <c r="K624" s="46">
        <v>38</v>
      </c>
      <c r="L624" s="46">
        <v>37</v>
      </c>
      <c r="M624" s="48">
        <v>8.1081081081081099E-2</v>
      </c>
    </row>
    <row r="625" spans="1:13" x14ac:dyDescent="0.35">
      <c r="A625" t="s">
        <v>209</v>
      </c>
      <c r="B625" t="s">
        <v>36</v>
      </c>
      <c r="C625" t="s">
        <v>154</v>
      </c>
      <c r="D625" t="s">
        <v>146</v>
      </c>
      <c r="E625" t="s">
        <v>219</v>
      </c>
      <c r="F625" t="s">
        <v>199</v>
      </c>
      <c r="G625" t="s">
        <v>199</v>
      </c>
      <c r="H625" s="46">
        <v>0</v>
      </c>
      <c r="I625" s="46">
        <v>0</v>
      </c>
      <c r="J625" s="46">
        <v>0</v>
      </c>
      <c r="K625" s="46">
        <v>14</v>
      </c>
      <c r="L625" s="46">
        <v>14</v>
      </c>
      <c r="M625" s="48">
        <v>0</v>
      </c>
    </row>
    <row r="626" spans="1:13" x14ac:dyDescent="0.35">
      <c r="A626" t="s">
        <v>209</v>
      </c>
      <c r="B626" t="s">
        <v>36</v>
      </c>
      <c r="C626" t="s">
        <v>158</v>
      </c>
      <c r="D626" t="s">
        <v>146</v>
      </c>
      <c r="E626" t="s">
        <v>219</v>
      </c>
      <c r="F626" t="s">
        <v>199</v>
      </c>
      <c r="G626" t="s">
        <v>199</v>
      </c>
      <c r="H626" s="46">
        <v>3</v>
      </c>
      <c r="I626" s="46">
        <v>3</v>
      </c>
      <c r="J626" s="46">
        <v>0</v>
      </c>
      <c r="K626" s="46">
        <v>44</v>
      </c>
      <c r="L626" s="46">
        <v>41</v>
      </c>
      <c r="M626" s="48">
        <v>7.3170731707317097E-2</v>
      </c>
    </row>
    <row r="627" spans="1:13" x14ac:dyDescent="0.35">
      <c r="A627" t="s">
        <v>209</v>
      </c>
      <c r="B627" t="s">
        <v>36</v>
      </c>
      <c r="C627" t="s">
        <v>151</v>
      </c>
      <c r="D627" t="s">
        <v>146</v>
      </c>
      <c r="E627" t="s">
        <v>220</v>
      </c>
      <c r="F627" t="s">
        <v>199</v>
      </c>
      <c r="G627" t="s">
        <v>199</v>
      </c>
      <c r="H627" s="46">
        <v>0</v>
      </c>
      <c r="I627" s="46">
        <v>0</v>
      </c>
      <c r="J627" s="46">
        <v>0</v>
      </c>
      <c r="K627" s="46">
        <v>14</v>
      </c>
      <c r="L627" s="46">
        <v>14</v>
      </c>
      <c r="M627" s="48">
        <v>0</v>
      </c>
    </row>
    <row r="628" spans="1:13" x14ac:dyDescent="0.35">
      <c r="A628" t="s">
        <v>209</v>
      </c>
      <c r="B628" t="s">
        <v>36</v>
      </c>
      <c r="C628" t="s">
        <v>155</v>
      </c>
      <c r="D628" t="s">
        <v>146</v>
      </c>
      <c r="E628" t="s">
        <v>220</v>
      </c>
      <c r="F628" t="s">
        <v>199</v>
      </c>
      <c r="G628" t="s">
        <v>199</v>
      </c>
      <c r="H628" s="46">
        <v>0</v>
      </c>
      <c r="I628" s="46">
        <v>0</v>
      </c>
      <c r="J628" s="46">
        <v>0</v>
      </c>
      <c r="K628" s="46">
        <v>6</v>
      </c>
      <c r="L628" s="46">
        <v>6</v>
      </c>
      <c r="M628" s="48">
        <v>0</v>
      </c>
    </row>
    <row r="629" spans="1:13" x14ac:dyDescent="0.35">
      <c r="A629" t="s">
        <v>209</v>
      </c>
      <c r="B629" t="s">
        <v>36</v>
      </c>
      <c r="C629" t="s">
        <v>156</v>
      </c>
      <c r="D629" t="s">
        <v>146</v>
      </c>
      <c r="E629" t="s">
        <v>220</v>
      </c>
      <c r="F629" t="s">
        <v>199</v>
      </c>
      <c r="G629" t="s">
        <v>199</v>
      </c>
      <c r="H629" s="46">
        <v>1</v>
      </c>
      <c r="I629" s="46">
        <v>1</v>
      </c>
      <c r="J629" s="46">
        <v>0</v>
      </c>
      <c r="K629" s="46">
        <v>11</v>
      </c>
      <c r="L629" s="46">
        <v>10</v>
      </c>
      <c r="M629" s="48">
        <v>0.1</v>
      </c>
    </row>
    <row r="630" spans="1:13" x14ac:dyDescent="0.35">
      <c r="A630" t="s">
        <v>209</v>
      </c>
      <c r="B630" t="s">
        <v>36</v>
      </c>
      <c r="C630" t="s">
        <v>153</v>
      </c>
      <c r="D630" t="s">
        <v>146</v>
      </c>
      <c r="E630" t="s">
        <v>220</v>
      </c>
      <c r="F630" t="s">
        <v>199</v>
      </c>
      <c r="G630" t="s">
        <v>199</v>
      </c>
      <c r="H630" s="46">
        <v>0</v>
      </c>
      <c r="I630" s="46">
        <v>0</v>
      </c>
      <c r="J630" s="46">
        <v>0</v>
      </c>
      <c r="K630" s="46">
        <v>3</v>
      </c>
      <c r="L630" s="46">
        <v>3</v>
      </c>
      <c r="M630" s="48">
        <v>0</v>
      </c>
    </row>
    <row r="631" spans="1:13" x14ac:dyDescent="0.35">
      <c r="A631" t="s">
        <v>209</v>
      </c>
      <c r="B631" t="s">
        <v>36</v>
      </c>
      <c r="C631" t="s">
        <v>154</v>
      </c>
      <c r="D631" t="s">
        <v>146</v>
      </c>
      <c r="E631" t="s">
        <v>220</v>
      </c>
      <c r="F631" t="s">
        <v>199</v>
      </c>
      <c r="G631" t="s">
        <v>199</v>
      </c>
      <c r="H631" s="46">
        <v>0</v>
      </c>
      <c r="I631" s="46">
        <v>0</v>
      </c>
      <c r="J631" s="46">
        <v>0</v>
      </c>
      <c r="K631" s="46">
        <v>15</v>
      </c>
      <c r="L631" s="46">
        <v>12</v>
      </c>
      <c r="M631" s="48">
        <v>0</v>
      </c>
    </row>
    <row r="632" spans="1:13" x14ac:dyDescent="0.35">
      <c r="A632" t="s">
        <v>209</v>
      </c>
      <c r="B632" t="s">
        <v>36</v>
      </c>
      <c r="C632" t="s">
        <v>152</v>
      </c>
      <c r="D632" t="s">
        <v>146</v>
      </c>
      <c r="E632" t="s">
        <v>220</v>
      </c>
      <c r="F632" t="s">
        <v>199</v>
      </c>
      <c r="G632" t="s">
        <v>199</v>
      </c>
      <c r="H632" s="46">
        <v>8</v>
      </c>
      <c r="I632" s="46">
        <v>8</v>
      </c>
      <c r="J632" s="46">
        <v>0</v>
      </c>
      <c r="K632" s="46">
        <v>144</v>
      </c>
      <c r="L632" s="46">
        <v>125</v>
      </c>
      <c r="M632" s="48">
        <v>6.4000000000000001E-2</v>
      </c>
    </row>
    <row r="633" spans="1:13" x14ac:dyDescent="0.35">
      <c r="A633" t="s">
        <v>209</v>
      </c>
      <c r="B633" t="s">
        <v>36</v>
      </c>
      <c r="C633" t="s">
        <v>148</v>
      </c>
      <c r="D633" t="s">
        <v>146</v>
      </c>
      <c r="E633" t="s">
        <v>220</v>
      </c>
      <c r="F633" t="s">
        <v>199</v>
      </c>
      <c r="G633" t="s">
        <v>199</v>
      </c>
      <c r="H633" s="46">
        <v>14</v>
      </c>
      <c r="I633" s="46">
        <v>13</v>
      </c>
      <c r="J633" s="46">
        <v>0</v>
      </c>
      <c r="K633" s="46">
        <v>201</v>
      </c>
      <c r="L633" s="46">
        <v>191</v>
      </c>
      <c r="M633" s="48">
        <v>7.3298429319371694E-2</v>
      </c>
    </row>
    <row r="634" spans="1:13" x14ac:dyDescent="0.35">
      <c r="A634" t="s">
        <v>209</v>
      </c>
      <c r="B634" t="s">
        <v>36</v>
      </c>
      <c r="C634" t="s">
        <v>158</v>
      </c>
      <c r="D634" t="s">
        <v>146</v>
      </c>
      <c r="E634" t="s">
        <v>220</v>
      </c>
      <c r="F634" t="s">
        <v>199</v>
      </c>
      <c r="G634" t="s">
        <v>199</v>
      </c>
      <c r="H634" s="46">
        <v>1</v>
      </c>
      <c r="I634" s="46">
        <v>1</v>
      </c>
      <c r="J634" s="46">
        <v>0</v>
      </c>
      <c r="K634" s="46">
        <v>24</v>
      </c>
      <c r="L634" s="46">
        <v>24</v>
      </c>
      <c r="M634" s="48">
        <v>4.1666666666666699E-2</v>
      </c>
    </row>
    <row r="635" spans="1:13" x14ac:dyDescent="0.35">
      <c r="A635" t="s">
        <v>209</v>
      </c>
      <c r="B635" t="s">
        <v>36</v>
      </c>
      <c r="C635" t="s">
        <v>157</v>
      </c>
      <c r="D635" t="s">
        <v>146</v>
      </c>
      <c r="E635" t="s">
        <v>220</v>
      </c>
      <c r="F635" t="s">
        <v>199</v>
      </c>
      <c r="G635" t="s">
        <v>199</v>
      </c>
      <c r="H635" s="46">
        <v>0</v>
      </c>
      <c r="I635" s="46">
        <v>0</v>
      </c>
      <c r="J635" s="46">
        <v>0</v>
      </c>
      <c r="K635" s="46">
        <v>6</v>
      </c>
      <c r="L635" s="46">
        <v>6</v>
      </c>
      <c r="M635" s="48">
        <v>0</v>
      </c>
    </row>
    <row r="636" spans="1:13" x14ac:dyDescent="0.35">
      <c r="A636" t="s">
        <v>209</v>
      </c>
      <c r="B636" t="s">
        <v>36</v>
      </c>
      <c r="C636" t="s">
        <v>150</v>
      </c>
      <c r="D636" t="s">
        <v>146</v>
      </c>
      <c r="E636" t="s">
        <v>220</v>
      </c>
      <c r="F636" t="s">
        <v>199</v>
      </c>
      <c r="G636" t="s">
        <v>199</v>
      </c>
      <c r="H636" s="46">
        <v>0</v>
      </c>
      <c r="I636" s="46">
        <v>0</v>
      </c>
      <c r="J636" s="46">
        <v>0</v>
      </c>
      <c r="K636" s="46">
        <v>6</v>
      </c>
      <c r="L636" s="46">
        <v>6</v>
      </c>
      <c r="M636" s="48">
        <v>0</v>
      </c>
    </row>
    <row r="637" spans="1:13" x14ac:dyDescent="0.35">
      <c r="A637" t="s">
        <v>209</v>
      </c>
      <c r="B637" t="s">
        <v>36</v>
      </c>
      <c r="C637" t="s">
        <v>150</v>
      </c>
      <c r="D637" t="s">
        <v>146</v>
      </c>
      <c r="E637" t="s">
        <v>221</v>
      </c>
      <c r="F637" t="s">
        <v>199</v>
      </c>
      <c r="G637" t="s">
        <v>199</v>
      </c>
      <c r="H637" s="46">
        <v>0</v>
      </c>
      <c r="I637" s="46">
        <v>0</v>
      </c>
      <c r="J637" s="46">
        <v>0</v>
      </c>
      <c r="K637" s="46">
        <v>1</v>
      </c>
      <c r="L637" s="46">
        <v>1</v>
      </c>
      <c r="M637" s="48">
        <v>0</v>
      </c>
    </row>
    <row r="638" spans="1:13" x14ac:dyDescent="0.35">
      <c r="A638" t="s">
        <v>209</v>
      </c>
      <c r="B638" t="s">
        <v>36</v>
      </c>
      <c r="C638" t="s">
        <v>151</v>
      </c>
      <c r="D638" t="s">
        <v>146</v>
      </c>
      <c r="E638" t="s">
        <v>221</v>
      </c>
      <c r="F638" t="s">
        <v>199</v>
      </c>
      <c r="G638" t="s">
        <v>199</v>
      </c>
      <c r="H638" s="46">
        <v>0</v>
      </c>
      <c r="I638" s="46">
        <v>0</v>
      </c>
      <c r="J638" s="46">
        <v>0</v>
      </c>
      <c r="K638" s="46">
        <v>12</v>
      </c>
      <c r="L638" s="46">
        <v>12</v>
      </c>
      <c r="M638" s="48">
        <v>0</v>
      </c>
    </row>
    <row r="639" spans="1:13" x14ac:dyDescent="0.35">
      <c r="A639" t="s">
        <v>209</v>
      </c>
      <c r="B639" t="s">
        <v>36</v>
      </c>
      <c r="C639" t="s">
        <v>152</v>
      </c>
      <c r="D639" t="s">
        <v>146</v>
      </c>
      <c r="E639" t="s">
        <v>221</v>
      </c>
      <c r="F639" t="s">
        <v>199</v>
      </c>
      <c r="G639" t="s">
        <v>199</v>
      </c>
      <c r="H639" s="46">
        <v>8</v>
      </c>
      <c r="I639" s="46">
        <v>8</v>
      </c>
      <c r="J639" s="46">
        <v>0</v>
      </c>
      <c r="K639" s="46">
        <v>163</v>
      </c>
      <c r="L639" s="46">
        <v>145</v>
      </c>
      <c r="M639" s="48">
        <v>5.5172413793103399E-2</v>
      </c>
    </row>
    <row r="640" spans="1:13" x14ac:dyDescent="0.35">
      <c r="A640" t="s">
        <v>209</v>
      </c>
      <c r="B640" t="s">
        <v>36</v>
      </c>
      <c r="C640" t="s">
        <v>153</v>
      </c>
      <c r="D640" t="s">
        <v>146</v>
      </c>
      <c r="E640" t="s">
        <v>221</v>
      </c>
      <c r="F640" t="s">
        <v>199</v>
      </c>
      <c r="G640" t="s">
        <v>199</v>
      </c>
      <c r="H640" s="46">
        <v>0</v>
      </c>
      <c r="I640" s="46">
        <v>0</v>
      </c>
      <c r="J640" s="46">
        <v>0</v>
      </c>
      <c r="K640" s="46">
        <v>2</v>
      </c>
      <c r="L640" s="46">
        <v>2</v>
      </c>
      <c r="M640" s="48">
        <v>0</v>
      </c>
    </row>
    <row r="641" spans="1:13" x14ac:dyDescent="0.35">
      <c r="A641" t="s">
        <v>209</v>
      </c>
      <c r="B641" t="s">
        <v>36</v>
      </c>
      <c r="C641" t="s">
        <v>154</v>
      </c>
      <c r="D641" t="s">
        <v>146</v>
      </c>
      <c r="E641" t="s">
        <v>221</v>
      </c>
      <c r="F641" t="s">
        <v>199</v>
      </c>
      <c r="G641" t="s">
        <v>199</v>
      </c>
      <c r="H641" s="46">
        <v>0</v>
      </c>
      <c r="I641" s="46">
        <v>0</v>
      </c>
      <c r="J641" s="46">
        <v>0</v>
      </c>
      <c r="K641" s="46">
        <v>15</v>
      </c>
      <c r="L641" s="46">
        <v>13</v>
      </c>
      <c r="M641" s="48">
        <v>0</v>
      </c>
    </row>
    <row r="642" spans="1:13" x14ac:dyDescent="0.35">
      <c r="A642" t="s">
        <v>209</v>
      </c>
      <c r="B642" t="s">
        <v>36</v>
      </c>
      <c r="C642" t="s">
        <v>148</v>
      </c>
      <c r="D642" t="s">
        <v>146</v>
      </c>
      <c r="E642" t="s">
        <v>221</v>
      </c>
      <c r="F642" t="s">
        <v>199</v>
      </c>
      <c r="G642" t="s">
        <v>199</v>
      </c>
      <c r="H642" s="46">
        <v>11</v>
      </c>
      <c r="I642" s="46">
        <v>11</v>
      </c>
      <c r="J642" s="46">
        <v>0</v>
      </c>
      <c r="K642" s="46">
        <v>180</v>
      </c>
      <c r="L642" s="46">
        <v>172</v>
      </c>
      <c r="M642" s="48">
        <v>6.3953488372092998E-2</v>
      </c>
    </row>
    <row r="643" spans="1:13" x14ac:dyDescent="0.35">
      <c r="A643" t="s">
        <v>209</v>
      </c>
      <c r="B643" t="s">
        <v>36</v>
      </c>
      <c r="C643" t="s">
        <v>155</v>
      </c>
      <c r="D643" t="s">
        <v>146</v>
      </c>
      <c r="E643" t="s">
        <v>221</v>
      </c>
      <c r="F643" t="s">
        <v>199</v>
      </c>
      <c r="G643" t="s">
        <v>199</v>
      </c>
      <c r="H643" s="46">
        <v>0</v>
      </c>
      <c r="I643" s="46">
        <v>0</v>
      </c>
      <c r="J643" s="46">
        <v>0</v>
      </c>
      <c r="K643" s="46">
        <v>5</v>
      </c>
      <c r="L643" s="46">
        <v>4</v>
      </c>
      <c r="M643" s="48">
        <v>0</v>
      </c>
    </row>
    <row r="644" spans="1:13" x14ac:dyDescent="0.35">
      <c r="A644" t="s">
        <v>209</v>
      </c>
      <c r="B644" t="s">
        <v>36</v>
      </c>
      <c r="C644" t="s">
        <v>156</v>
      </c>
      <c r="D644" t="s">
        <v>146</v>
      </c>
      <c r="E644" t="s">
        <v>221</v>
      </c>
      <c r="F644" t="s">
        <v>199</v>
      </c>
      <c r="G644" t="s">
        <v>199</v>
      </c>
      <c r="H644" s="46">
        <v>1</v>
      </c>
      <c r="I644" s="46">
        <v>1</v>
      </c>
      <c r="J644" s="46">
        <v>0</v>
      </c>
      <c r="K644" s="46">
        <v>5</v>
      </c>
      <c r="L644" s="46">
        <v>5</v>
      </c>
      <c r="M644" s="48">
        <v>0.2</v>
      </c>
    </row>
    <row r="645" spans="1:13" x14ac:dyDescent="0.35">
      <c r="A645" t="s">
        <v>209</v>
      </c>
      <c r="B645" t="s">
        <v>36</v>
      </c>
      <c r="C645" t="s">
        <v>157</v>
      </c>
      <c r="D645" t="s">
        <v>146</v>
      </c>
      <c r="E645" t="s">
        <v>221</v>
      </c>
      <c r="F645" t="s">
        <v>199</v>
      </c>
      <c r="G645" t="s">
        <v>199</v>
      </c>
      <c r="H645" s="46">
        <v>0</v>
      </c>
      <c r="I645" s="46">
        <v>0</v>
      </c>
      <c r="J645" s="46">
        <v>0</v>
      </c>
      <c r="K645" s="46">
        <v>23</v>
      </c>
      <c r="L645" s="46">
        <v>19</v>
      </c>
      <c r="M645" s="48">
        <v>0</v>
      </c>
    </row>
    <row r="646" spans="1:13" x14ac:dyDescent="0.35">
      <c r="A646" t="s">
        <v>209</v>
      </c>
      <c r="B646" t="s">
        <v>36</v>
      </c>
      <c r="C646" t="s">
        <v>158</v>
      </c>
      <c r="D646" t="s">
        <v>146</v>
      </c>
      <c r="E646" t="s">
        <v>221</v>
      </c>
      <c r="F646" t="s">
        <v>199</v>
      </c>
      <c r="G646" t="s">
        <v>199</v>
      </c>
      <c r="H646" s="46">
        <v>1</v>
      </c>
      <c r="I646" s="46">
        <v>1</v>
      </c>
      <c r="J646" s="46">
        <v>0</v>
      </c>
      <c r="K646" s="46">
        <v>30</v>
      </c>
      <c r="L646" s="46">
        <v>29</v>
      </c>
      <c r="M646" s="48">
        <v>3.4482758620689703E-2</v>
      </c>
    </row>
    <row r="647" spans="1:13" x14ac:dyDescent="0.35">
      <c r="A647" t="s">
        <v>209</v>
      </c>
      <c r="B647" t="s">
        <v>36</v>
      </c>
      <c r="C647" t="s">
        <v>150</v>
      </c>
      <c r="D647" t="s">
        <v>146</v>
      </c>
      <c r="E647" t="s">
        <v>223</v>
      </c>
      <c r="F647" t="s">
        <v>199</v>
      </c>
      <c r="G647" t="s">
        <v>199</v>
      </c>
      <c r="H647" s="46">
        <v>1</v>
      </c>
      <c r="I647" s="46">
        <v>1</v>
      </c>
      <c r="J647" s="46">
        <v>0</v>
      </c>
      <c r="K647" s="46">
        <v>4</v>
      </c>
      <c r="L647" s="46">
        <v>4</v>
      </c>
      <c r="M647" s="48">
        <v>0.25</v>
      </c>
    </row>
    <row r="648" spans="1:13" x14ac:dyDescent="0.35">
      <c r="A648" t="s">
        <v>209</v>
      </c>
      <c r="B648" t="s">
        <v>36</v>
      </c>
      <c r="C648" t="s">
        <v>155</v>
      </c>
      <c r="D648" t="s">
        <v>146</v>
      </c>
      <c r="E648" t="s">
        <v>223</v>
      </c>
      <c r="F648" t="s">
        <v>199</v>
      </c>
      <c r="G648" t="s">
        <v>199</v>
      </c>
      <c r="H648" s="46">
        <v>1</v>
      </c>
      <c r="I648" s="46">
        <v>1</v>
      </c>
      <c r="J648" s="46">
        <v>0</v>
      </c>
      <c r="K648" s="46">
        <v>8</v>
      </c>
      <c r="L648" s="46">
        <v>7</v>
      </c>
      <c r="M648" s="48">
        <v>0.14285714285714299</v>
      </c>
    </row>
    <row r="649" spans="1:13" x14ac:dyDescent="0.35">
      <c r="A649" t="s">
        <v>209</v>
      </c>
      <c r="B649" t="s">
        <v>36</v>
      </c>
      <c r="C649" t="s">
        <v>157</v>
      </c>
      <c r="D649" t="s">
        <v>146</v>
      </c>
      <c r="E649" t="s">
        <v>223</v>
      </c>
      <c r="F649" t="s">
        <v>199</v>
      </c>
      <c r="G649" t="s">
        <v>199</v>
      </c>
      <c r="H649" s="46">
        <v>1</v>
      </c>
      <c r="I649" s="46">
        <v>1</v>
      </c>
      <c r="J649" s="46">
        <v>0</v>
      </c>
      <c r="K649" s="46">
        <v>16</v>
      </c>
      <c r="L649" s="46">
        <v>16</v>
      </c>
      <c r="M649" s="48">
        <v>6.25E-2</v>
      </c>
    </row>
    <row r="650" spans="1:13" x14ac:dyDescent="0.35">
      <c r="A650" t="s">
        <v>209</v>
      </c>
      <c r="B650" t="s">
        <v>36</v>
      </c>
      <c r="C650" t="s">
        <v>154</v>
      </c>
      <c r="D650" t="s">
        <v>225</v>
      </c>
      <c r="E650" t="s">
        <v>224</v>
      </c>
      <c r="F650" t="s">
        <v>199</v>
      </c>
      <c r="G650" t="s">
        <v>199</v>
      </c>
      <c r="H650" s="46">
        <v>2</v>
      </c>
      <c r="I650" s="46">
        <v>2</v>
      </c>
      <c r="J650" s="46">
        <v>0</v>
      </c>
      <c r="K650" s="46">
        <v>21</v>
      </c>
      <c r="L650" s="46">
        <v>20</v>
      </c>
      <c r="M650" s="48">
        <v>0.1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7B4D-5B25-4A74-ABF7-8A83C55E2A5C}">
  <dimension ref="A1:T29"/>
  <sheetViews>
    <sheetView zoomScaleNormal="100" workbookViewId="0">
      <selection activeCell="E18" sqref="E18"/>
    </sheetView>
  </sheetViews>
  <sheetFormatPr defaultRowHeight="14.5" x14ac:dyDescent="0.35"/>
  <cols>
    <col min="1" max="1" width="84.08984375" customWidth="1"/>
    <col min="3" max="3" width="8.7265625" customWidth="1"/>
    <col min="9" max="10" width="8.7265625" customWidth="1"/>
  </cols>
  <sheetData>
    <row r="1" spans="1:20" ht="17.5" x14ac:dyDescent="0.35">
      <c r="A1" s="209" t="s">
        <v>233</v>
      </c>
    </row>
    <row r="2" spans="1:20" x14ac:dyDescent="0.35">
      <c r="A2" s="228" t="s">
        <v>234</v>
      </c>
    </row>
    <row r="3" spans="1:20" x14ac:dyDescent="0.35">
      <c r="A3" s="229"/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</row>
    <row r="4" spans="1:20" x14ac:dyDescent="0.35">
      <c r="A4" s="229"/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</row>
    <row r="5" spans="1:20" x14ac:dyDescent="0.35">
      <c r="A5" s="229"/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x14ac:dyDescent="0.35">
      <c r="A6" s="229"/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</row>
    <row r="7" spans="1:20" x14ac:dyDescent="0.35">
      <c r="A7" s="229"/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</row>
    <row r="8" spans="1:20" x14ac:dyDescent="0.35">
      <c r="A8" s="229"/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</row>
    <row r="9" spans="1:20" x14ac:dyDescent="0.35">
      <c r="A9" s="229"/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</row>
    <row r="10" spans="1:20" x14ac:dyDescent="0.35">
      <c r="A10" s="230" t="s">
        <v>235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</row>
    <row r="11" spans="1:20" x14ac:dyDescent="0.35">
      <c r="A11" s="231"/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</row>
    <row r="12" spans="1:20" x14ac:dyDescent="0.35">
      <c r="A12" s="231"/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</row>
    <row r="13" spans="1:20" x14ac:dyDescent="0.35">
      <c r="A13" s="231"/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</row>
    <row r="14" spans="1:20" x14ac:dyDescent="0.35">
      <c r="A14" s="231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</row>
    <row r="15" spans="1:20" x14ac:dyDescent="0.35">
      <c r="A15" s="231"/>
      <c r="B15" s="212"/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</row>
    <row r="16" spans="1:20" x14ac:dyDescent="0.35">
      <c r="A16" s="231"/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</row>
    <row r="17" spans="1:20" x14ac:dyDescent="0.35">
      <c r="A17" s="214"/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</row>
    <row r="18" spans="1:20" x14ac:dyDescent="0.35">
      <c r="A18" s="213"/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</row>
    <row r="19" spans="1:20" x14ac:dyDescent="0.35">
      <c r="A19" s="211"/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</row>
    <row r="20" spans="1:20" x14ac:dyDescent="0.35">
      <c r="A20" s="212"/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</row>
    <row r="22" spans="1:20" x14ac:dyDescent="0.35">
      <c r="A22" s="232" t="s">
        <v>236</v>
      </c>
    </row>
    <row r="23" spans="1:20" x14ac:dyDescent="0.35">
      <c r="A23" s="233"/>
    </row>
    <row r="24" spans="1:20" x14ac:dyDescent="0.35">
      <c r="A24" s="233"/>
    </row>
    <row r="25" spans="1:20" x14ac:dyDescent="0.35">
      <c r="A25" s="233"/>
    </row>
    <row r="26" spans="1:20" x14ac:dyDescent="0.35">
      <c r="A26" s="233"/>
    </row>
    <row r="27" spans="1:20" x14ac:dyDescent="0.35">
      <c r="A27" s="233"/>
    </row>
    <row r="28" spans="1:20" x14ac:dyDescent="0.35">
      <c r="A28" s="233"/>
    </row>
    <row r="29" spans="1:20" x14ac:dyDescent="0.35">
      <c r="A29" s="233"/>
    </row>
  </sheetData>
  <mergeCells count="3">
    <mergeCell ref="A2:A9"/>
    <mergeCell ref="A10:A16"/>
    <mergeCell ref="A22:A29"/>
  </mergeCells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FD6B-0907-4F1C-A2B4-1CF648728D9D}">
  <dimension ref="A1:I42"/>
  <sheetViews>
    <sheetView topLeftCell="A25" workbookViewId="0">
      <selection activeCell="A29" sqref="A29:F42"/>
    </sheetView>
  </sheetViews>
  <sheetFormatPr defaultRowHeight="14.5" x14ac:dyDescent="0.35"/>
  <cols>
    <col min="2" max="2" width="13.54296875" customWidth="1"/>
    <col min="4" max="4" width="12.26953125" customWidth="1"/>
    <col min="5" max="5" width="12.1796875" customWidth="1"/>
    <col min="6" max="6" width="11.6328125" customWidth="1"/>
  </cols>
  <sheetData>
    <row r="1" spans="1:9" ht="14.5" customHeight="1" x14ac:dyDescent="0.35">
      <c r="A1" s="232" t="s">
        <v>237</v>
      </c>
      <c r="B1" s="232"/>
      <c r="C1" s="232"/>
      <c r="D1" s="232"/>
      <c r="E1" s="232"/>
      <c r="F1" s="232"/>
      <c r="G1" s="215"/>
      <c r="H1" s="215"/>
      <c r="I1" s="215"/>
    </row>
    <row r="2" spans="1:9" x14ac:dyDescent="0.35">
      <c r="A2" s="232"/>
      <c r="B2" s="232"/>
      <c r="C2" s="232"/>
      <c r="D2" s="232"/>
      <c r="E2" s="232"/>
      <c r="F2" s="232"/>
      <c r="G2" s="215"/>
      <c r="H2" s="210"/>
      <c r="I2" s="215"/>
    </row>
    <row r="3" spans="1:9" x14ac:dyDescent="0.35">
      <c r="A3" s="232"/>
      <c r="B3" s="232"/>
      <c r="C3" s="232"/>
      <c r="D3" s="232"/>
      <c r="E3" s="232"/>
      <c r="F3" s="232"/>
      <c r="G3" s="215"/>
      <c r="H3" s="215"/>
      <c r="I3" s="215"/>
    </row>
    <row r="4" spans="1:9" x14ac:dyDescent="0.35">
      <c r="A4" s="232"/>
      <c r="B4" s="232"/>
      <c r="C4" s="232"/>
      <c r="D4" s="232"/>
      <c r="E4" s="232"/>
      <c r="F4" s="232"/>
      <c r="G4" s="215"/>
      <c r="H4" s="215"/>
      <c r="I4" s="215"/>
    </row>
    <row r="5" spans="1:9" x14ac:dyDescent="0.35">
      <c r="A5" s="232"/>
      <c r="B5" s="232"/>
      <c r="C5" s="232"/>
      <c r="D5" s="232"/>
      <c r="E5" s="232"/>
      <c r="F5" s="232"/>
      <c r="G5" s="215"/>
      <c r="H5" s="215"/>
      <c r="I5" s="215"/>
    </row>
    <row r="6" spans="1:9" x14ac:dyDescent="0.35">
      <c r="A6" s="232"/>
      <c r="B6" s="232"/>
      <c r="C6" s="232"/>
      <c r="D6" s="232"/>
      <c r="E6" s="232"/>
      <c r="F6" s="232"/>
      <c r="G6" s="215"/>
      <c r="H6" s="215"/>
      <c r="I6" s="215"/>
    </row>
    <row r="7" spans="1:9" x14ac:dyDescent="0.35">
      <c r="A7" s="232"/>
      <c r="B7" s="232"/>
      <c r="C7" s="232"/>
      <c r="D7" s="232"/>
      <c r="E7" s="232"/>
      <c r="F7" s="232"/>
      <c r="G7" s="215"/>
      <c r="H7" s="215"/>
      <c r="I7" s="215"/>
    </row>
    <row r="8" spans="1:9" x14ac:dyDescent="0.35">
      <c r="A8" s="210"/>
      <c r="B8" s="215"/>
      <c r="C8" s="215"/>
      <c r="D8" s="215"/>
      <c r="E8" s="215"/>
      <c r="F8" s="215"/>
      <c r="G8" s="215"/>
      <c r="H8" s="215"/>
      <c r="I8" s="215"/>
    </row>
    <row r="9" spans="1:9" ht="43.5" x14ac:dyDescent="0.35">
      <c r="A9" s="215"/>
      <c r="B9" s="43" t="s">
        <v>121</v>
      </c>
      <c r="C9" s="43" t="s">
        <v>46</v>
      </c>
      <c r="D9" s="43" t="s">
        <v>91</v>
      </c>
      <c r="E9" s="43" t="s">
        <v>238</v>
      </c>
      <c r="F9" s="43" t="s">
        <v>239</v>
      </c>
      <c r="G9" s="215"/>
      <c r="H9" s="215"/>
      <c r="I9" s="215"/>
    </row>
    <row r="10" spans="1:9" x14ac:dyDescent="0.35">
      <c r="A10" s="215"/>
      <c r="B10" s="50" t="s">
        <v>21</v>
      </c>
      <c r="C10" s="45">
        <v>8</v>
      </c>
      <c r="D10" s="216">
        <v>150829</v>
      </c>
      <c r="E10" s="217">
        <v>18853.599999999999</v>
      </c>
      <c r="F10" s="45" t="s">
        <v>240</v>
      </c>
      <c r="G10" s="215"/>
      <c r="H10" s="215"/>
      <c r="I10" s="215"/>
    </row>
    <row r="11" spans="1:9" ht="29" x14ac:dyDescent="0.35">
      <c r="A11" s="215"/>
      <c r="B11" s="50" t="s">
        <v>17</v>
      </c>
      <c r="C11" s="45">
        <v>202</v>
      </c>
      <c r="D11" s="216">
        <v>893797</v>
      </c>
      <c r="E11" s="217">
        <v>4424.7</v>
      </c>
      <c r="F11" s="45" t="s">
        <v>240</v>
      </c>
      <c r="G11" s="215"/>
      <c r="H11" s="215"/>
      <c r="I11" s="215"/>
    </row>
    <row r="12" spans="1:9" ht="29" x14ac:dyDescent="0.35">
      <c r="A12" s="215"/>
      <c r="B12" s="50" t="s">
        <v>22</v>
      </c>
      <c r="C12" s="45">
        <v>15</v>
      </c>
      <c r="D12" s="216">
        <v>8235</v>
      </c>
      <c r="E12" s="45">
        <v>549</v>
      </c>
      <c r="F12" s="45" t="s">
        <v>241</v>
      </c>
      <c r="G12" s="215"/>
      <c r="H12" s="215"/>
      <c r="I12" s="215"/>
    </row>
    <row r="13" spans="1:9" x14ac:dyDescent="0.35">
      <c r="A13" s="215"/>
      <c r="B13" s="50" t="s">
        <v>18</v>
      </c>
      <c r="C13" s="45">
        <v>186</v>
      </c>
      <c r="D13" s="216">
        <v>14939</v>
      </c>
      <c r="E13" s="45">
        <v>80.3</v>
      </c>
      <c r="F13" s="45" t="s">
        <v>240</v>
      </c>
      <c r="G13" s="215"/>
      <c r="H13" s="215"/>
      <c r="I13" s="215"/>
    </row>
    <row r="14" spans="1:9" ht="29" x14ac:dyDescent="0.35">
      <c r="A14" s="215"/>
      <c r="B14" s="50" t="s">
        <v>20</v>
      </c>
      <c r="C14" s="45">
        <v>66</v>
      </c>
      <c r="D14" s="45">
        <v>233</v>
      </c>
      <c r="E14" s="45">
        <v>3.5</v>
      </c>
      <c r="F14" s="45" t="s">
        <v>241</v>
      </c>
      <c r="G14" s="215"/>
      <c r="H14" s="215"/>
      <c r="I14" s="215"/>
    </row>
    <row r="15" spans="1:9" x14ac:dyDescent="0.35">
      <c r="A15" s="215"/>
      <c r="B15" s="215"/>
      <c r="C15" s="215"/>
      <c r="D15" s="215"/>
      <c r="E15" s="215"/>
      <c r="F15" s="215"/>
      <c r="G15" s="215"/>
      <c r="H15" s="215"/>
      <c r="I15" s="215"/>
    </row>
    <row r="16" spans="1:9" x14ac:dyDescent="0.35">
      <c r="A16" s="232" t="s">
        <v>242</v>
      </c>
      <c r="B16" s="233"/>
      <c r="C16" s="233"/>
      <c r="D16" s="233"/>
      <c r="E16" s="233"/>
      <c r="F16" s="233"/>
      <c r="G16" s="215"/>
      <c r="H16" s="215"/>
      <c r="I16" s="215"/>
    </row>
    <row r="17" spans="1:9" x14ac:dyDescent="0.35">
      <c r="A17" s="233"/>
      <c r="B17" s="233"/>
      <c r="C17" s="233"/>
      <c r="D17" s="233"/>
      <c r="E17" s="233"/>
      <c r="F17" s="233"/>
      <c r="G17" s="215"/>
      <c r="H17" s="215"/>
      <c r="I17" s="215"/>
    </row>
    <row r="18" spans="1:9" x14ac:dyDescent="0.35">
      <c r="A18" s="233"/>
      <c r="B18" s="233"/>
      <c r="C18" s="233"/>
      <c r="D18" s="233"/>
      <c r="E18" s="233"/>
      <c r="F18" s="233"/>
    </row>
    <row r="19" spans="1:9" x14ac:dyDescent="0.35">
      <c r="A19" s="233"/>
      <c r="B19" s="233"/>
      <c r="C19" s="233"/>
      <c r="D19" s="233"/>
      <c r="E19" s="233"/>
      <c r="F19" s="233"/>
    </row>
    <row r="20" spans="1:9" x14ac:dyDescent="0.35">
      <c r="A20" s="233"/>
      <c r="B20" s="233"/>
      <c r="C20" s="233"/>
      <c r="D20" s="233"/>
      <c r="E20" s="233"/>
      <c r="F20" s="233"/>
    </row>
    <row r="21" spans="1:9" x14ac:dyDescent="0.35">
      <c r="A21" s="233"/>
      <c r="B21" s="233"/>
      <c r="C21" s="233"/>
      <c r="D21" s="233"/>
      <c r="E21" s="233"/>
      <c r="F21" s="233"/>
    </row>
    <row r="22" spans="1:9" x14ac:dyDescent="0.35">
      <c r="A22" s="233"/>
      <c r="B22" s="233"/>
      <c r="C22" s="233"/>
      <c r="D22" s="233"/>
      <c r="E22" s="233"/>
      <c r="F22" s="233"/>
    </row>
    <row r="23" spans="1:9" x14ac:dyDescent="0.35">
      <c r="A23" s="233"/>
      <c r="B23" s="233"/>
      <c r="C23" s="233"/>
      <c r="D23" s="233"/>
      <c r="E23" s="233"/>
      <c r="F23" s="233"/>
    </row>
    <row r="24" spans="1:9" x14ac:dyDescent="0.35">
      <c r="A24" s="233"/>
      <c r="B24" s="233"/>
      <c r="C24" s="233"/>
      <c r="D24" s="233"/>
      <c r="E24" s="233"/>
      <c r="F24" s="233"/>
    </row>
    <row r="25" spans="1:9" x14ac:dyDescent="0.35">
      <c r="A25" s="233"/>
      <c r="B25" s="233"/>
      <c r="C25" s="233"/>
      <c r="D25" s="233"/>
      <c r="E25" s="233"/>
      <c r="F25" s="233"/>
    </row>
    <row r="26" spans="1:9" x14ac:dyDescent="0.35">
      <c r="A26" s="233"/>
      <c r="B26" s="233"/>
      <c r="C26" s="233"/>
      <c r="D26" s="233"/>
      <c r="E26" s="233"/>
      <c r="F26" s="233"/>
    </row>
    <row r="27" spans="1:9" x14ac:dyDescent="0.35">
      <c r="A27" s="233"/>
      <c r="B27" s="233"/>
      <c r="C27" s="233"/>
      <c r="D27" s="233"/>
      <c r="E27" s="233"/>
      <c r="F27" s="233"/>
    </row>
    <row r="28" spans="1:9" x14ac:dyDescent="0.35">
      <c r="A28" s="233"/>
      <c r="B28" s="233"/>
      <c r="C28" s="233"/>
      <c r="D28" s="233"/>
      <c r="E28" s="233"/>
      <c r="F28" s="233"/>
    </row>
    <row r="29" spans="1:9" x14ac:dyDescent="0.35">
      <c r="A29" s="234" t="s">
        <v>243</v>
      </c>
      <c r="B29" s="235"/>
      <c r="C29" s="235"/>
      <c r="D29" s="235"/>
      <c r="E29" s="235"/>
      <c r="F29" s="235"/>
    </row>
    <row r="30" spans="1:9" x14ac:dyDescent="0.35">
      <c r="A30" s="235"/>
      <c r="B30" s="235"/>
      <c r="C30" s="235"/>
      <c r="D30" s="235"/>
      <c r="E30" s="235"/>
      <c r="F30" s="235"/>
    </row>
    <row r="31" spans="1:9" x14ac:dyDescent="0.35">
      <c r="A31" s="235"/>
      <c r="B31" s="235"/>
      <c r="C31" s="235"/>
      <c r="D31" s="235"/>
      <c r="E31" s="235"/>
      <c r="F31" s="235"/>
    </row>
    <row r="32" spans="1:9" x14ac:dyDescent="0.35">
      <c r="A32" s="235"/>
      <c r="B32" s="235"/>
      <c r="C32" s="235"/>
      <c r="D32" s="235"/>
      <c r="E32" s="235"/>
      <c r="F32" s="235"/>
    </row>
    <row r="33" spans="1:6" x14ac:dyDescent="0.35">
      <c r="A33" s="235"/>
      <c r="B33" s="235"/>
      <c r="C33" s="235"/>
      <c r="D33" s="235"/>
      <c r="E33" s="235"/>
      <c r="F33" s="235"/>
    </row>
    <row r="34" spans="1:6" x14ac:dyDescent="0.35">
      <c r="A34" s="235"/>
      <c r="B34" s="235"/>
      <c r="C34" s="235"/>
      <c r="D34" s="235"/>
      <c r="E34" s="235"/>
      <c r="F34" s="235"/>
    </row>
    <row r="35" spans="1:6" x14ac:dyDescent="0.35">
      <c r="A35" s="235"/>
      <c r="B35" s="235"/>
      <c r="C35" s="235"/>
      <c r="D35" s="235"/>
      <c r="E35" s="235"/>
      <c r="F35" s="235"/>
    </row>
    <row r="36" spans="1:6" x14ac:dyDescent="0.35">
      <c r="A36" s="235"/>
      <c r="B36" s="235"/>
      <c r="C36" s="235"/>
      <c r="D36" s="235"/>
      <c r="E36" s="235"/>
      <c r="F36" s="235"/>
    </row>
    <row r="37" spans="1:6" x14ac:dyDescent="0.35">
      <c r="A37" s="235"/>
      <c r="B37" s="235"/>
      <c r="C37" s="235"/>
      <c r="D37" s="235"/>
      <c r="E37" s="235"/>
      <c r="F37" s="235"/>
    </row>
    <row r="38" spans="1:6" x14ac:dyDescent="0.35">
      <c r="A38" s="235"/>
      <c r="B38" s="235"/>
      <c r="C38" s="235"/>
      <c r="D38" s="235"/>
      <c r="E38" s="235"/>
      <c r="F38" s="235"/>
    </row>
    <row r="39" spans="1:6" x14ac:dyDescent="0.35">
      <c r="A39" s="235"/>
      <c r="B39" s="235"/>
      <c r="C39" s="235"/>
      <c r="D39" s="235"/>
      <c r="E39" s="235"/>
      <c r="F39" s="235"/>
    </row>
    <row r="40" spans="1:6" x14ac:dyDescent="0.35">
      <c r="A40" s="235"/>
      <c r="B40" s="235"/>
      <c r="C40" s="235"/>
      <c r="D40" s="235"/>
      <c r="E40" s="235"/>
      <c r="F40" s="235"/>
    </row>
    <row r="41" spans="1:6" x14ac:dyDescent="0.35">
      <c r="A41" s="235"/>
      <c r="B41" s="235"/>
      <c r="C41" s="235"/>
      <c r="D41" s="235"/>
      <c r="E41" s="235"/>
      <c r="F41" s="235"/>
    </row>
    <row r="42" spans="1:6" x14ac:dyDescent="0.35">
      <c r="A42" s="235"/>
      <c r="B42" s="235"/>
      <c r="C42" s="235"/>
      <c r="D42" s="235"/>
      <c r="E42" s="235"/>
      <c r="F42" s="235"/>
    </row>
  </sheetData>
  <mergeCells count="3">
    <mergeCell ref="A1:F7"/>
    <mergeCell ref="A16:F28"/>
    <mergeCell ref="A29:F4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7C4A-DC6C-4040-AD98-5D2EACE6C19D}">
  <dimension ref="A1:J31"/>
  <sheetViews>
    <sheetView tabSelected="1" topLeftCell="A7" workbookViewId="0">
      <selection activeCell="A12" sqref="A12"/>
    </sheetView>
  </sheetViews>
  <sheetFormatPr defaultRowHeight="14.5" x14ac:dyDescent="0.35"/>
  <cols>
    <col min="1" max="1" width="62.81640625" customWidth="1"/>
    <col min="2" max="2" width="8.7265625" customWidth="1"/>
  </cols>
  <sheetData>
    <row r="1" spans="1:10" x14ac:dyDescent="0.35">
      <c r="A1" s="232" t="s">
        <v>244</v>
      </c>
    </row>
    <row r="2" spans="1:10" x14ac:dyDescent="0.35">
      <c r="A2" s="236"/>
    </row>
    <row r="3" spans="1:10" x14ac:dyDescent="0.35">
      <c r="A3" s="236"/>
    </row>
    <row r="4" spans="1:10" x14ac:dyDescent="0.35">
      <c r="A4" s="236"/>
    </row>
    <row r="5" spans="1:10" x14ac:dyDescent="0.35">
      <c r="A5" s="233"/>
    </row>
    <row r="6" spans="1:10" x14ac:dyDescent="0.35">
      <c r="A6" s="233"/>
    </row>
    <row r="7" spans="1:10" x14ac:dyDescent="0.35">
      <c r="A7" s="233"/>
    </row>
    <row r="8" spans="1:10" x14ac:dyDescent="0.35">
      <c r="A8" s="233"/>
    </row>
    <row r="9" spans="1:10" x14ac:dyDescent="0.35">
      <c r="A9" s="233"/>
    </row>
    <row r="10" spans="1:10" x14ac:dyDescent="0.35">
      <c r="A10" s="233"/>
    </row>
    <row r="12" spans="1:10" ht="101.5" x14ac:dyDescent="0.35">
      <c r="A12" s="218" t="s">
        <v>245</v>
      </c>
      <c r="B12" s="215"/>
      <c r="C12" s="215"/>
      <c r="D12" s="215"/>
      <c r="E12" s="215"/>
      <c r="F12" s="215"/>
      <c r="G12" s="215"/>
      <c r="H12" s="215"/>
      <c r="I12" s="215"/>
      <c r="J12" s="215"/>
    </row>
    <row r="13" spans="1:10" ht="101.5" x14ac:dyDescent="0.35">
      <c r="A13" s="218" t="s">
        <v>246</v>
      </c>
      <c r="B13" s="215"/>
      <c r="C13" s="215"/>
      <c r="D13" s="215"/>
      <c r="E13" s="215"/>
      <c r="F13" s="215"/>
      <c r="G13" s="215"/>
      <c r="H13" s="215"/>
      <c r="I13" s="215"/>
      <c r="J13" s="215"/>
    </row>
    <row r="14" spans="1:10" ht="174" x14ac:dyDescent="0.35">
      <c r="A14" s="218" t="s">
        <v>247</v>
      </c>
      <c r="B14" s="215"/>
      <c r="C14" s="215"/>
      <c r="D14" s="215"/>
      <c r="E14" s="215"/>
      <c r="F14" s="215"/>
      <c r="G14" s="215"/>
      <c r="H14" s="215"/>
      <c r="I14" s="215"/>
      <c r="J14" s="215"/>
    </row>
    <row r="15" spans="1:10" x14ac:dyDescent="0.35">
      <c r="B15" s="215"/>
      <c r="C15" s="215"/>
      <c r="D15" s="215"/>
      <c r="E15" s="215"/>
      <c r="F15" s="215"/>
      <c r="G15" s="215"/>
      <c r="H15" s="215"/>
      <c r="I15" s="215"/>
      <c r="J15" s="215"/>
    </row>
    <row r="16" spans="1:10" x14ac:dyDescent="0.35">
      <c r="B16" s="215"/>
      <c r="C16" s="215"/>
      <c r="D16" s="215"/>
      <c r="E16" s="215"/>
      <c r="F16" s="215"/>
      <c r="G16" s="215"/>
      <c r="H16" s="215"/>
      <c r="I16" s="215"/>
      <c r="J16" s="215"/>
    </row>
    <row r="17" spans="1:10" x14ac:dyDescent="0.35">
      <c r="B17" s="215"/>
      <c r="C17" s="215"/>
      <c r="D17" s="215"/>
      <c r="E17" s="215"/>
      <c r="F17" s="215"/>
      <c r="G17" s="215"/>
      <c r="H17" s="215"/>
      <c r="I17" s="215"/>
      <c r="J17" s="215"/>
    </row>
    <row r="18" spans="1:10" x14ac:dyDescent="0.35">
      <c r="B18" s="215"/>
      <c r="C18" s="215"/>
      <c r="D18" s="215"/>
      <c r="E18" s="215"/>
      <c r="F18" s="215"/>
      <c r="G18" s="215"/>
      <c r="H18" s="215"/>
      <c r="I18" s="215"/>
      <c r="J18" s="215"/>
    </row>
    <row r="19" spans="1:10" x14ac:dyDescent="0.35">
      <c r="B19" s="215"/>
      <c r="C19" s="215"/>
      <c r="D19" s="215"/>
      <c r="E19" s="215"/>
      <c r="F19" s="215"/>
      <c r="G19" s="215"/>
      <c r="H19" s="215"/>
      <c r="I19" s="215"/>
      <c r="J19" s="215"/>
    </row>
    <row r="20" spans="1:10" x14ac:dyDescent="0.35">
      <c r="B20" s="215"/>
      <c r="C20" s="215"/>
      <c r="D20" s="215"/>
      <c r="E20" s="215"/>
      <c r="F20" s="215"/>
      <c r="G20" s="215"/>
      <c r="H20" s="215"/>
      <c r="I20" s="215"/>
      <c r="J20" s="215"/>
    </row>
    <row r="21" spans="1:10" x14ac:dyDescent="0.35">
      <c r="B21" s="215"/>
      <c r="C21" s="215"/>
      <c r="D21" s="215"/>
      <c r="E21" s="215"/>
      <c r="F21" s="215"/>
      <c r="G21" s="215"/>
      <c r="H21" s="215"/>
      <c r="I21" s="215"/>
      <c r="J21" s="215"/>
    </row>
    <row r="22" spans="1:10" x14ac:dyDescent="0.35">
      <c r="A22" s="215"/>
      <c r="B22" s="215"/>
      <c r="C22" s="215"/>
      <c r="D22" s="215"/>
      <c r="E22" s="215"/>
      <c r="F22" s="215"/>
      <c r="G22" s="215"/>
      <c r="H22" s="215"/>
      <c r="I22" s="215"/>
      <c r="J22" s="215"/>
    </row>
    <row r="23" spans="1:10" x14ac:dyDescent="0.35">
      <c r="A23" s="215"/>
      <c r="B23" s="215"/>
      <c r="C23" s="215"/>
      <c r="D23" s="215"/>
      <c r="E23" s="215"/>
      <c r="F23" s="215"/>
      <c r="G23" s="215"/>
      <c r="H23" s="215"/>
      <c r="I23" s="215"/>
      <c r="J23" s="215"/>
    </row>
    <row r="24" spans="1:10" x14ac:dyDescent="0.35">
      <c r="A24" s="215"/>
      <c r="B24" s="215"/>
      <c r="C24" s="215"/>
      <c r="D24" s="215"/>
      <c r="E24" s="215"/>
      <c r="F24" s="215"/>
      <c r="G24" s="215"/>
      <c r="H24" s="215"/>
      <c r="I24" s="215"/>
      <c r="J24" s="215"/>
    </row>
    <row r="25" spans="1:10" x14ac:dyDescent="0.35">
      <c r="A25" s="215"/>
      <c r="B25" s="215"/>
      <c r="C25" s="215"/>
      <c r="D25" s="215"/>
      <c r="E25" s="215"/>
      <c r="F25" s="215"/>
      <c r="G25" s="215"/>
      <c r="H25" s="215"/>
      <c r="I25" s="215"/>
      <c r="J25" s="215"/>
    </row>
    <row r="26" spans="1:10" x14ac:dyDescent="0.35">
      <c r="A26" s="215"/>
      <c r="B26" s="215"/>
      <c r="C26" s="215"/>
      <c r="D26" s="215"/>
      <c r="E26" s="215"/>
      <c r="F26" s="215"/>
      <c r="G26" s="215"/>
      <c r="H26" s="215"/>
      <c r="I26" s="215"/>
      <c r="J26" s="215"/>
    </row>
    <row r="27" spans="1:10" x14ac:dyDescent="0.35">
      <c r="A27" s="215"/>
      <c r="B27" s="215"/>
      <c r="C27" s="215"/>
      <c r="D27" s="215"/>
      <c r="E27" s="215"/>
      <c r="F27" s="215"/>
      <c r="G27" s="215"/>
      <c r="H27" s="215"/>
      <c r="I27" s="215"/>
      <c r="J27" s="215"/>
    </row>
    <row r="28" spans="1:10" x14ac:dyDescent="0.35">
      <c r="A28" s="215"/>
      <c r="B28" s="215"/>
      <c r="C28" s="215"/>
      <c r="D28" s="215"/>
      <c r="E28" s="215"/>
      <c r="F28" s="215"/>
      <c r="G28" s="215"/>
      <c r="H28" s="215"/>
      <c r="I28" s="215"/>
      <c r="J28" s="215"/>
    </row>
    <row r="29" spans="1:10" x14ac:dyDescent="0.35">
      <c r="A29" s="215"/>
      <c r="B29" s="215"/>
      <c r="C29" s="215"/>
      <c r="D29" s="215"/>
      <c r="E29" s="215"/>
      <c r="F29" s="215"/>
      <c r="G29" s="215"/>
      <c r="H29" s="215"/>
      <c r="I29" s="215"/>
      <c r="J29" s="215"/>
    </row>
    <row r="30" spans="1:10" x14ac:dyDescent="0.35">
      <c r="A30" s="215"/>
      <c r="B30" s="215"/>
      <c r="C30" s="215"/>
      <c r="D30" s="215"/>
      <c r="E30" s="215"/>
      <c r="F30" s="215"/>
      <c r="G30" s="215"/>
      <c r="H30" s="215"/>
      <c r="I30" s="215"/>
      <c r="J30" s="215"/>
    </row>
    <row r="31" spans="1:10" x14ac:dyDescent="0.35">
      <c r="A31" s="215"/>
      <c r="B31" s="215"/>
      <c r="C31" s="215"/>
      <c r="D31" s="215"/>
      <c r="E31" s="215"/>
      <c r="F31" s="215"/>
      <c r="G31" s="215"/>
      <c r="H31" s="215"/>
      <c r="I31" s="215"/>
      <c r="J31" s="215"/>
    </row>
  </sheetData>
  <mergeCells count="1">
    <mergeCell ref="A1:A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A6753D-EC39-4E5E-80D0-82D9D5847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DATA</vt:lpstr>
      <vt:lpstr>Cleaned Data</vt:lpstr>
      <vt:lpstr>Monthly Summary</vt:lpstr>
      <vt:lpstr>Channel Analysis</vt:lpstr>
      <vt:lpstr>Pillar Analysis</vt:lpstr>
      <vt:lpstr>outlier campaign pillar</vt:lpstr>
      <vt:lpstr>pillar outlier</vt:lpstr>
      <vt:lpstr>Format Analysis</vt:lpstr>
      <vt:lpstr>Market Analysis</vt:lpstr>
      <vt:lpstr>Statistical Summary</vt:lpstr>
      <vt:lpstr>Anomaly Detection</vt:lpstr>
      <vt:lpstr>October anomaly</vt:lpstr>
      <vt:lpstr>Insights</vt:lpstr>
      <vt:lpstr>Sheet1__4</vt:lpstr>
      <vt:lpstr>1. Overall Performance</vt:lpstr>
      <vt:lpstr>2. Content &amp; Engagement Analysi</vt:lpstr>
      <vt:lpstr>3. Performance Metrics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saranya c j</cp:lastModifiedBy>
  <cp:revision>2</cp:revision>
  <dcterms:created xsi:type="dcterms:W3CDTF">2026-05-21T02:02:33Z</dcterms:created>
  <dcterms:modified xsi:type="dcterms:W3CDTF">2026-05-21T17:56:53Z</dcterms:modified>
  <dc:language>en-US</dc:language>
</cp:coreProperties>
</file>